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8BE89070-2EC1-4818-80E0-8788A9AC4DDA}" xr6:coauthVersionLast="36" xr6:coauthVersionMax="47" xr10:uidLastSave="{00000000-0000-0000-0000-000000000000}"/>
  <bookViews>
    <workbookView xWindow="-60" yWindow="-60" windowWidth="15480" windowHeight="11640" tabRatio="570" xr2:uid="{73D17D42-2032-4221-9DBF-D2EB2D99B5D8}"/>
  </bookViews>
  <sheets>
    <sheet name="MALLA CURRICULAR" sheetId="8" r:id="rId1"/>
    <sheet name="MODIFICACIONES EN ASIGNATURAS" sheetId="1" r:id="rId2"/>
  </sheets>
  <definedNames>
    <definedName name="_xlnm.Print_Area" localSheetId="0">'MALLA CURRICULAR'!$A$1:$CH$65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G61" i="8" l="1"/>
  <c r="CG60" i="8"/>
  <c r="CG59" i="8"/>
  <c r="CG57" i="8"/>
  <c r="CG58" i="8"/>
  <c r="CG56" i="8"/>
  <c r="CG55" i="8"/>
  <c r="CG54" i="8"/>
  <c r="BZ49" i="8"/>
  <c r="BZ48" i="8"/>
  <c r="BZ29" i="8"/>
  <c r="BZ28" i="8"/>
  <c r="BZ24" i="8"/>
  <c r="BZ23" i="8"/>
  <c r="BZ19" i="8"/>
  <c r="CE19" i="8" s="1"/>
  <c r="BZ18" i="8"/>
  <c r="BZ14" i="8"/>
  <c r="BZ13" i="8"/>
  <c r="BZ9" i="8"/>
  <c r="CE9" i="8" s="1"/>
  <c r="BZ8" i="8"/>
  <c r="CG7" i="8"/>
  <c r="CE7" i="8"/>
  <c r="CC7" i="8"/>
  <c r="CE8" i="8" s="1"/>
  <c r="CE14" i="8"/>
  <c r="CG12" i="8"/>
  <c r="CE12" i="8"/>
  <c r="CC12" i="8"/>
  <c r="CE13" i="8" s="1"/>
  <c r="CG17" i="8"/>
  <c r="CE17" i="8"/>
  <c r="CC17" i="8"/>
  <c r="CE24" i="8"/>
  <c r="CG22" i="8"/>
  <c r="CE22" i="8"/>
  <c r="CC22" i="8"/>
  <c r="CE23" i="8" s="1"/>
  <c r="CE29" i="8"/>
  <c r="CG27" i="8"/>
  <c r="CE27" i="8"/>
  <c r="CC27" i="8"/>
  <c r="CE28" i="8" s="1"/>
  <c r="CE34" i="8"/>
  <c r="CG32" i="8"/>
  <c r="CE32" i="8"/>
  <c r="CC32" i="8"/>
  <c r="CE33" i="8" s="1"/>
  <c r="CE39" i="8"/>
  <c r="CG37" i="8"/>
  <c r="CE37" i="8"/>
  <c r="CC37" i="8"/>
  <c r="CE38" i="8" s="1"/>
  <c r="CC47" i="8"/>
  <c r="CE49" i="8"/>
  <c r="CG47" i="8"/>
  <c r="CE47" i="8"/>
  <c r="CE48" i="8"/>
  <c r="CE44" i="8"/>
  <c r="CG42" i="8"/>
  <c r="CE43" i="8" s="1"/>
  <c r="CE42" i="8"/>
  <c r="CC42" i="8"/>
  <c r="BH44" i="8"/>
  <c r="BZ34" i="8"/>
  <c r="BZ44" i="8"/>
  <c r="BZ39" i="8"/>
  <c r="BQ49" i="8"/>
  <c r="BH49" i="8"/>
  <c r="AY49" i="8"/>
  <c r="AP49" i="8"/>
  <c r="AG49" i="8"/>
  <c r="X49" i="8"/>
  <c r="O49" i="8"/>
  <c r="BQ48" i="8"/>
  <c r="BH48" i="8"/>
  <c r="AY48" i="8"/>
  <c r="AP48" i="8"/>
  <c r="AG48" i="8"/>
  <c r="X48" i="8"/>
  <c r="O48" i="8"/>
  <c r="BQ44" i="8"/>
  <c r="AY44" i="8"/>
  <c r="AP44" i="8"/>
  <c r="AG44" i="8"/>
  <c r="X44" i="8"/>
  <c r="O44" i="8"/>
  <c r="BQ43" i="8"/>
  <c r="AY43" i="8"/>
  <c r="AP43" i="8"/>
  <c r="AG43" i="8"/>
  <c r="X43" i="8"/>
  <c r="O43" i="8"/>
  <c r="BQ39" i="8"/>
  <c r="BH39" i="8"/>
  <c r="AY39" i="8"/>
  <c r="AP39" i="8"/>
  <c r="AG39" i="8"/>
  <c r="X39" i="8"/>
  <c r="O39" i="8"/>
  <c r="BQ38" i="8"/>
  <c r="BH38" i="8"/>
  <c r="AY38" i="8"/>
  <c r="AP38" i="8"/>
  <c r="AG38" i="8"/>
  <c r="X38" i="8"/>
  <c r="O38" i="8"/>
  <c r="BQ34" i="8"/>
  <c r="BH34" i="8"/>
  <c r="AY34" i="8"/>
  <c r="AP34" i="8"/>
  <c r="AG34" i="8"/>
  <c r="X34" i="8"/>
  <c r="O34" i="8"/>
  <c r="BQ33" i="8"/>
  <c r="BH33" i="8"/>
  <c r="AY33" i="8"/>
  <c r="AP33" i="8"/>
  <c r="AG33" i="8"/>
  <c r="X33" i="8"/>
  <c r="O33" i="8"/>
  <c r="BQ29" i="8"/>
  <c r="BH29" i="8"/>
  <c r="AY29" i="8"/>
  <c r="AP29" i="8"/>
  <c r="AG29" i="8"/>
  <c r="X29" i="8"/>
  <c r="O29" i="8"/>
  <c r="BQ28" i="8"/>
  <c r="BH28" i="8"/>
  <c r="AY28" i="8"/>
  <c r="AP28" i="8"/>
  <c r="AG28" i="8"/>
  <c r="X28" i="8"/>
  <c r="O28" i="8"/>
  <c r="BQ24" i="8"/>
  <c r="BH24" i="8"/>
  <c r="AY24" i="8"/>
  <c r="AP24" i="8"/>
  <c r="AG24" i="8"/>
  <c r="X24" i="8"/>
  <c r="O24" i="8"/>
  <c r="BQ23" i="8"/>
  <c r="BH23" i="8"/>
  <c r="AY23" i="8"/>
  <c r="AP23" i="8"/>
  <c r="AG23" i="8"/>
  <c r="X23" i="8"/>
  <c r="O23" i="8"/>
  <c r="BQ19" i="8"/>
  <c r="BH19" i="8"/>
  <c r="AY19" i="8"/>
  <c r="AP19" i="8"/>
  <c r="AG19" i="8"/>
  <c r="X19" i="8"/>
  <c r="O19" i="8"/>
  <c r="BQ18" i="8"/>
  <c r="BH18" i="8"/>
  <c r="AY18" i="8"/>
  <c r="AP18" i="8"/>
  <c r="AG18" i="8"/>
  <c r="X18" i="8"/>
  <c r="O18" i="8"/>
  <c r="BQ14" i="8"/>
  <c r="BQ13" i="8"/>
  <c r="BH14" i="8"/>
  <c r="BH13" i="8"/>
  <c r="AY14" i="8"/>
  <c r="AY13" i="8"/>
  <c r="AP14" i="8"/>
  <c r="AP13" i="8"/>
  <c r="AG14" i="8"/>
  <c r="AG13" i="8"/>
  <c r="X14" i="8"/>
  <c r="X13" i="8"/>
  <c r="O14" i="8"/>
  <c r="O13" i="8"/>
  <c r="BQ9" i="8"/>
  <c r="BQ8" i="8"/>
  <c r="BH9" i="8"/>
  <c r="BH8" i="8"/>
  <c r="AY9" i="8"/>
  <c r="AY8" i="8"/>
  <c r="AP9" i="8"/>
  <c r="AP8" i="8"/>
  <c r="AG9" i="8"/>
  <c r="AG8" i="8"/>
  <c r="X9" i="8"/>
  <c r="X8" i="8"/>
  <c r="O8" i="8"/>
  <c r="BZ43" i="8"/>
  <c r="O9" i="8"/>
  <c r="CE18" i="8" l="1"/>
  <c r="L5" i="1" l="1"/>
  <c r="M5" i="1" s="1"/>
  <c r="H5" i="1"/>
  <c r="I5" i="1" s="1"/>
</calcChain>
</file>

<file path=xl/sharedStrings.xml><?xml version="1.0" encoding="utf-8"?>
<sst xmlns="http://schemas.openxmlformats.org/spreadsheetml/2006/main" count="536" uniqueCount="73">
  <si>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</si>
  <si>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</si>
  <si>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</si>
  <si>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</si>
  <si>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</si>
  <si>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</si>
  <si>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</si>
  <si>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</si>
  <si>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</si>
  <si>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</si>
  <si>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</si>
  <si>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</si>
  <si>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</si>
  <si>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</si>
  <si>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</si>
  <si>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</si>
  <si>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</si>
  <si>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</si>
  <si>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</si>
  <si>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</si>
  <si>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</si>
  <si>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A</t>
  </si>
  <si>
    <t>NIVEL 100 - I</t>
  </si>
  <si>
    <t>ACD:</t>
  </si>
  <si>
    <t>APE:</t>
  </si>
  <si>
    <t>AA: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</si>
  <si>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</si>
  <si>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</si>
  <si>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</si>
  <si>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</si>
  <si>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</si>
  <si>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</si>
  <si>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</si>
  <si>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</si>
  <si>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</si>
  <si>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</si>
  <si>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</si>
  <si>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</si>
  <si>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</si>
  <si>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TOTAL DE HORAS APE</t>
  </si>
  <si>
    <t>Matemática y Ciencias Básicas</t>
  </si>
  <si>
    <t>TOTAL DE HORAS AA</t>
  </si>
  <si>
    <t>Educación General</t>
  </si>
  <si>
    <t>TOTAL DE PRACTICAS PREPROFESIONALES EMPRESARIALES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</si>
  <si>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</si>
  <si>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</si>
  <si>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</si>
  <si>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</si>
  <si>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</si>
  <si>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</si>
  <si>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</si>
  <si>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</si>
  <si>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</si>
  <si>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</si>
  <si>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</si>
  <si>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</si>
  <si>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</si>
  <si>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NIVEL 500 - I</t>
  </si>
  <si>
    <t>TOTAL HORAS NIVEL 100-I</t>
  </si>
  <si>
    <t>Horas Totales:</t>
  </si>
  <si>
    <t>CRÉD.</t>
  </si>
  <si>
    <t>Prácticas de Servicio Comunitario</t>
  </si>
  <si>
    <t>Prácticas laborales</t>
  </si>
  <si>
    <t>Materia Integradora</t>
  </si>
  <si>
    <t>Proyecto Integrador</t>
  </si>
  <si>
    <t>TOTAL HORAS NIVEL 100-II</t>
  </si>
  <si>
    <t>TOTAL HORAS NIVEL 200-I</t>
  </si>
  <si>
    <t>TOTAL HORAS NIVEL 200-II</t>
  </si>
  <si>
    <t>TOTAL HORAS NIVEL 300-I</t>
  </si>
  <si>
    <t>TOTAL HORAS NIVEL 300-II</t>
  </si>
  <si>
    <t>TOTAL HORAS NIVEL 400-I</t>
  </si>
  <si>
    <t>TOTAL HORAS NIVEL 400-II</t>
  </si>
  <si>
    <t>TOTAL HORAS NIVEL 500-I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</si>
</sst>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thin">
        <color theme="0"/>
      </bottom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1" xfId="0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6" fillId="7" borderId="20" xfId="0" applyFont="1" applyFill="1" applyBorder="1" applyAlignment="1">
      <alignment horizontal="center" vertical="center"/>
    </xf>
    <xf numFmtId="0" fontId="6" fillId="7" borderId="21" xfId="0" applyFont="1" applyFill="1" applyBorder="1" applyAlignment="1">
      <alignment horizontal="center" vertical="center"/>
    </xf>
    <xf numFmtId="0" fontId="6" fillId="7" borderId="22" xfId="0" applyFont="1" applyFill="1" applyBorder="1" applyAlignment="1">
      <alignment horizontal="center" vertical="center"/>
    </xf>
    <xf numFmtId="0" fontId="6" fillId="7" borderId="23" xfId="0" applyFont="1" applyFill="1" applyBorder="1" applyAlignment="1">
      <alignment horizontal="center" vertical="center"/>
    </xf>
    <xf numFmtId="0" fontId="6" fillId="7" borderId="24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/>
    </xf>
    <xf numFmtId="0" fontId="6" fillId="7" borderId="26" xfId="0" applyFont="1" applyFill="1" applyBorder="1" applyAlignment="1">
      <alignment horizontal="center" vertic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29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0" fontId="6" fillId="7" borderId="31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0" fontId="6" fillId="7" borderId="33" xfId="0" applyFont="1" applyFill="1" applyBorder="1" applyAlignment="1">
      <alignment horizontal="center" vertical="center"/>
    </xf>
    <xf numFmtId="0" fontId="6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vertical="center"/>
    </xf>
    <xf numFmtId="0" fontId="6" fillId="7" borderId="36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vertical="center"/>
    </xf>
    <xf numFmtId="0" fontId="6" fillId="7" borderId="37" xfId="0" applyFon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8" borderId="9" xfId="0" applyFill="1" applyBorder="1" applyAlignment="1">
      <alignment vertical="center"/>
    </xf>
    <xf numFmtId="0" fontId="0" fillId="8" borderId="10" xfId="0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0" fillId="8" borderId="11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092BE"/>
      <color rgb="FFFCDC7D"/>
      <color rgb="FF0035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233631</xdr:colOff>
      <xdr:row>0</xdr:row>
      <xdr:rowOff>131205</xdr:rowOff>
    </xdr:from>
    <xdr:to>
      <xdr:col>10</xdr:col>
      <xdr:colOff>96034</xdr:colOff>
      <xdr:row>2</xdr:row>
      <xdr:rowOff>163100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94D8743-BFFE-4C86-B1E6-42A725C44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835" y="131205"/>
          <a:ext cx="1829381" cy="4102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72F1-0C88-45CE-AD8C-A6A20B371D9E}">
  <sheetPr>
    <pageSetUpPr fitToPage="1"/>
  </sheetPr>
  <dimension ref="C1:DO66"/>
  <sheetViews>
    <sheetView tabSelected="1" zoomScale="59" zoomScaleNormal="190" zoomScaleSheetLayoutView="100" workbookViewId="0">
      <selection activeCell="I5" sqref="I5"/>
    </sheetView>
  </sheetViews>
  <sheetFormatPr baseColWidth="10" defaultColWidth="8.85546875" defaultRowHeight="15" x14ac:dyDescent="0.25"/>
  <cols>
    <col min="1" max="1" width="8.85546875" style="5"/>
    <col min="2" max="2" width="3.7109375" style="5" customWidth="1"/>
    <col min="3" max="7" width="4.85546875" style="5" customWidth="1"/>
    <col min="8" max="13" width="5" style="5" customWidth="1"/>
    <col min="14" max="14" width="14.28515625" style="5" customWidth="1"/>
    <col min="15" max="15" width="5" style="5" customWidth="1"/>
    <col min="16" max="16" width="3.85546875" style="5" customWidth="1"/>
    <col min="17" max="22" width="5" style="5" customWidth="1"/>
    <col min="23" max="23" width="14.28515625" style="5" customWidth="1"/>
    <col min="24" max="24" width="5" style="5" customWidth="1"/>
    <col min="25" max="25" width="3.85546875" style="5" customWidth="1"/>
    <col min="26" max="31" width="5" style="5" customWidth="1"/>
    <col min="32" max="32" width="14.28515625" style="5" customWidth="1"/>
    <col min="33" max="33" width="5" style="5" customWidth="1"/>
    <col min="34" max="34" width="3.85546875" style="5" customWidth="1"/>
    <col min="35" max="40" width="5" style="5" customWidth="1"/>
    <col min="41" max="41" width="14.28515625" style="5" customWidth="1"/>
    <col min="42" max="42" width="5" style="5" customWidth="1"/>
    <col min="43" max="43" width="3.85546875" style="5" customWidth="1"/>
    <col min="44" max="49" width="5" style="5" customWidth="1"/>
    <col min="50" max="50" width="14.28515625" style="5" customWidth="1"/>
    <col min="51" max="51" width="5" style="5" customWidth="1"/>
    <col min="52" max="52" width="3.85546875" style="5" customWidth="1"/>
    <col min="53" max="58" width="5" style="5" customWidth="1"/>
    <col min="59" max="59" width="14.28515625" style="5" customWidth="1"/>
    <col min="60" max="60" width="5" style="5" customWidth="1"/>
    <col min="61" max="61" width="3.85546875" style="5" customWidth="1"/>
    <col min="62" max="67" width="5" style="5" customWidth="1"/>
    <col min="68" max="68" width="14.28515625" style="5" customWidth="1"/>
    <col min="69" max="69" width="5" style="5" customWidth="1"/>
    <col min="70" max="70" width="3.85546875" style="5" customWidth="1"/>
    <col min="71" max="76" width="4.85546875" style="5" customWidth="1"/>
    <col min="77" max="77" width="14.28515625" style="5" customWidth="1"/>
    <col min="78" max="78" width="5" style="5" customWidth="1"/>
    <col min="79" max="79" width="6.140625" style="5" customWidth="1"/>
    <col min="80" max="80" width="10" style="5" customWidth="1"/>
    <col min="81" max="81" width="10.28515625" style="5" customWidth="1"/>
    <col min="82" max="82" width="9.85546875" style="5" customWidth="1"/>
    <col min="83" max="275" width="11.42578125" style="5" customWidth="1"/>
    <col min="276" max="16384" width="8.85546875" style="5"/>
  </cols>
  <sheetData>
    <row r="1" spans="3:85" ht="15" customHeight="1" x14ac:dyDescent="0.25"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</row>
    <row r="2" spans="3:85" ht="15" customHeight="1" x14ac:dyDescent="0.25"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</row>
    <row r="3" spans="3:85" ht="15" customHeight="1" x14ac:dyDescent="0.25"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</row>
    <row r="5" spans="3:85" ht="15.75" thickBot="1" x14ac:dyDescent="0.3">
      <c r="H5" s="9"/>
      <c r="I5" s="9"/>
      <c r="J5" s="9"/>
      <c r="O5" s="9"/>
      <c r="P5" s="9"/>
      <c r="Q5" s="9"/>
      <c r="R5" s="9"/>
      <c r="S5" s="9"/>
      <c r="X5" s="9"/>
      <c r="Y5" s="9"/>
      <c r="Z5" s="9"/>
      <c r="AA5" s="9"/>
      <c r="AB5" s="9"/>
      <c r="AG5" s="9"/>
      <c r="AH5" s="9"/>
      <c r="AI5" s="9"/>
      <c r="AJ5" s="9"/>
      <c r="AK5" s="9"/>
      <c r="AP5" s="9"/>
      <c r="AQ5" s="9"/>
      <c r="AR5" s="9"/>
      <c r="AS5" s="9"/>
      <c r="AT5" s="9"/>
      <c r="AY5" s="9"/>
      <c r="AZ5" s="9"/>
      <c r="BA5" s="9"/>
      <c r="BB5" s="9"/>
      <c r="BC5" s="9"/>
      <c r="BH5" s="9"/>
      <c r="BI5" s="9"/>
      <c r="BJ5" s="9"/>
      <c r="BK5" s="9"/>
      <c r="BL5" s="9"/>
      <c r="BQ5" s="9"/>
      <c r="BR5" s="9"/>
    </row>
    <row r="6" spans="3:85" ht="15" customHeight="1" x14ac:dyDescent="0.25">
      <c r="C6" s="33" t="s">
        <v>22</v>
      </c>
      <c r="D6" s="33"/>
      <c r="E6" s="33"/>
      <c r="F6" s="33"/>
      <c r="H6" s="20" t="s">
        <v>21</v>
      </c>
      <c r="I6" s="21"/>
      <c r="J6" s="21"/>
      <c r="K6" s="21"/>
      <c r="L6" s="21"/>
      <c r="M6" s="21"/>
      <c r="N6" s="21"/>
      <c r="O6" s="22"/>
      <c r="P6" s="9"/>
      <c r="Q6" s="20" t="s">
        <v>21</v>
      </c>
      <c r="R6" s="21"/>
      <c r="S6" s="21"/>
      <c r="T6" s="21"/>
      <c r="U6" s="21"/>
      <c r="V6" s="21"/>
      <c r="W6" s="21"/>
      <c r="X6" s="22"/>
      <c r="Y6" s="9"/>
      <c r="Z6" s="20" t="s">
        <v>21</v>
      </c>
      <c r="AA6" s="21"/>
      <c r="AB6" s="21"/>
      <c r="AC6" s="21"/>
      <c r="AD6" s="21"/>
      <c r="AE6" s="21"/>
      <c r="AF6" s="21"/>
      <c r="AG6" s="22"/>
      <c r="AH6" s="9"/>
      <c r="AI6" s="20" t="s">
        <v>21</v>
      </c>
      <c r="AJ6" s="21"/>
      <c r="AK6" s="21"/>
      <c r="AL6" s="21"/>
      <c r="AM6" s="21"/>
      <c r="AN6" s="21"/>
      <c r="AO6" s="21"/>
      <c r="AP6" s="22"/>
      <c r="AQ6" s="9"/>
      <c r="AR6" s="20" t="s">
        <v>21</v>
      </c>
      <c r="AS6" s="21"/>
      <c r="AT6" s="21"/>
      <c r="AU6" s="21"/>
      <c r="AV6" s="21"/>
      <c r="AW6" s="21"/>
      <c r="AX6" s="21"/>
      <c r="AY6" s="22"/>
      <c r="AZ6" s="9"/>
      <c r="BA6" s="20" t="s">
        <v>21</v>
      </c>
      <c r="BB6" s="21"/>
      <c r="BC6" s="21"/>
      <c r="BD6" s="21"/>
      <c r="BE6" s="21"/>
      <c r="BF6" s="21"/>
      <c r="BG6" s="21"/>
      <c r="BH6" s="22"/>
      <c r="BI6" s="9"/>
      <c r="BJ6" s="20" t="s">
        <v>21</v>
      </c>
      <c r="BK6" s="21"/>
      <c r="BL6" s="21"/>
      <c r="BM6" s="21"/>
      <c r="BN6" s="21"/>
      <c r="BO6" s="21"/>
      <c r="BP6" s="21"/>
      <c r="BQ6" s="22"/>
      <c r="BR6" s="9"/>
      <c r="BS6" s="20" t="s">
        <v>21</v>
      </c>
      <c r="BT6" s="21"/>
      <c r="BU6" s="21"/>
      <c r="BV6" s="21"/>
      <c r="BW6" s="21"/>
      <c r="BX6" s="21"/>
      <c r="BY6" s="21"/>
      <c r="BZ6" s="22"/>
      <c r="CB6" s="23" t="s">
        <v>58</v>
      </c>
      <c r="CC6" s="24"/>
      <c r="CD6" s="24"/>
      <c r="CE6" s="24"/>
      <c r="CF6" s="24"/>
      <c r="CG6" s="25"/>
    </row>
    <row r="7" spans="3:85" ht="15" customHeight="1" x14ac:dyDescent="0.25">
      <c r="C7" s="33"/>
      <c r="D7" s="33"/>
      <c r="E7" s="33"/>
      <c r="F7" s="33"/>
      <c r="H7" s="26"/>
      <c r="I7" s="12"/>
      <c r="J7" s="12"/>
      <c r="K7" s="12"/>
      <c r="L7" s="12"/>
      <c r="M7" s="12"/>
      <c r="N7" s="12"/>
      <c r="O7" s="27"/>
      <c r="Q7" s="26"/>
      <c r="R7" s="12"/>
      <c r="S7" s="12"/>
      <c r="T7" s="12"/>
      <c r="U7" s="12"/>
      <c r="V7" s="12"/>
      <c r="W7" s="12"/>
      <c r="X7" s="27"/>
      <c r="Z7" s="26"/>
      <c r="AA7" s="12"/>
      <c r="AB7" s="12"/>
      <c r="AC7" s="12"/>
      <c r="AD7" s="12"/>
      <c r="AE7" s="12"/>
      <c r="AF7" s="12"/>
      <c r="AG7" s="27"/>
      <c r="AI7" s="26"/>
      <c r="AJ7" s="12"/>
      <c r="AK7" s="12"/>
      <c r="AL7" s="12"/>
      <c r="AM7" s="12"/>
      <c r="AN7" s="12"/>
      <c r="AO7" s="12"/>
      <c r="AP7" s="27"/>
      <c r="AR7" s="26"/>
      <c r="AS7" s="12"/>
      <c r="AT7" s="12"/>
      <c r="AU7" s="12"/>
      <c r="AV7" s="12"/>
      <c r="AW7" s="12"/>
      <c r="AX7" s="12"/>
      <c r="AY7" s="27"/>
      <c r="BA7" s="26"/>
      <c r="BB7" s="12"/>
      <c r="BC7" s="12"/>
      <c r="BD7" s="12"/>
      <c r="BE7" s="12"/>
      <c r="BF7" s="12"/>
      <c r="BG7" s="12"/>
      <c r="BH7" s="27"/>
      <c r="BJ7" s="26"/>
      <c r="BK7" s="12"/>
      <c r="BL7" s="12"/>
      <c r="BM7" s="12"/>
      <c r="BN7" s="12"/>
      <c r="BO7" s="12"/>
      <c r="BP7" s="12"/>
      <c r="BQ7" s="27"/>
      <c r="BS7" s="26"/>
      <c r="BT7" s="12"/>
      <c r="BU7" s="12"/>
      <c r="BV7" s="12"/>
      <c r="BW7" s="12"/>
      <c r="BX7" s="12"/>
      <c r="BY7" s="12"/>
      <c r="BZ7" s="27"/>
      <c r="CB7" s="28" t="s">
        <v>23</v>
      </c>
      <c r="CC7" s="10">
        <f>(I8+R8+AA8+AJ8+AS8+BB8+BK8+BT8)*16</f>
        <v>0</v>
      </c>
      <c r="CD7" s="3" t="s">
        <v>24</v>
      </c>
      <c r="CE7" s="10">
        <f>(K8+T8+AC8+AL8+AU8+BD8+BM8+BV8)*16</f>
        <v>0</v>
      </c>
      <c r="CF7" s="3" t="s">
        <v>25</v>
      </c>
      <c r="CG7" s="29">
        <f>(M8+V8+AE8+AN8+AW8+BF8+BO8+BX8)*16</f>
        <v>0</v>
      </c>
    </row>
    <row r="8" spans="3:85" ht="15.75" thickBot="1" x14ac:dyDescent="0.3">
      <c r="H8" s="30" t="s">
        <v>23</v>
      </c>
      <c r="I8" s="50">
        <v>0</v>
      </c>
      <c r="J8" s="31" t="s">
        <v>24</v>
      </c>
      <c r="K8" s="50">
        <v>0</v>
      </c>
      <c r="L8" s="31" t="s">
        <v>25</v>
      </c>
      <c r="M8" s="50">
        <v>0</v>
      </c>
      <c r="N8" s="31" t="s">
        <v>59</v>
      </c>
      <c r="O8" s="51">
        <f>SUM(I8+K8+M8)*16</f>
        <v>0</v>
      </c>
      <c r="Q8" s="30" t="s">
        <v>23</v>
      </c>
      <c r="R8" s="50">
        <v>0</v>
      </c>
      <c r="S8" s="31" t="s">
        <v>24</v>
      </c>
      <c r="T8" s="50">
        <v>0</v>
      </c>
      <c r="U8" s="31" t="s">
        <v>25</v>
      </c>
      <c r="V8" s="50">
        <v>0</v>
      </c>
      <c r="W8" s="31" t="s">
        <v>59</v>
      </c>
      <c r="X8" s="51">
        <f>SUM(R8+T8+V8)*16</f>
        <v>0</v>
      </c>
      <c r="Z8" s="30" t="s">
        <v>23</v>
      </c>
      <c r="AA8" s="50">
        <v>0</v>
      </c>
      <c r="AB8" s="31" t="s">
        <v>24</v>
      </c>
      <c r="AC8" s="50">
        <v>0</v>
      </c>
      <c r="AD8" s="31" t="s">
        <v>25</v>
      </c>
      <c r="AE8" s="50">
        <v>0</v>
      </c>
      <c r="AF8" s="31" t="s">
        <v>59</v>
      </c>
      <c r="AG8" s="51">
        <f>SUM(AA8+AC8+AE8)*16</f>
        <v>0</v>
      </c>
      <c r="AI8" s="30" t="s">
        <v>23</v>
      </c>
      <c r="AJ8" s="50">
        <v>0</v>
      </c>
      <c r="AK8" s="31" t="s">
        <v>24</v>
      </c>
      <c r="AL8" s="50">
        <v>0</v>
      </c>
      <c r="AM8" s="31" t="s">
        <v>25</v>
      </c>
      <c r="AN8" s="50">
        <v>0</v>
      </c>
      <c r="AO8" s="31" t="s">
        <v>59</v>
      </c>
      <c r="AP8" s="51">
        <f>SUM(AJ8+AL8+AN8)*16</f>
        <v>0</v>
      </c>
      <c r="AR8" s="30" t="s">
        <v>23</v>
      </c>
      <c r="AS8" s="50">
        <v>0</v>
      </c>
      <c r="AT8" s="31" t="s">
        <v>24</v>
      </c>
      <c r="AU8" s="50">
        <v>0</v>
      </c>
      <c r="AV8" s="31" t="s">
        <v>25</v>
      </c>
      <c r="AW8" s="50">
        <v>0</v>
      </c>
      <c r="AX8" s="31" t="s">
        <v>59</v>
      </c>
      <c r="AY8" s="51">
        <f>SUM(AS8+AU8+AW8)*16</f>
        <v>0</v>
      </c>
      <c r="BA8" s="30" t="s">
        <v>23</v>
      </c>
      <c r="BB8" s="50">
        <v>0</v>
      </c>
      <c r="BC8" s="31" t="s">
        <v>24</v>
      </c>
      <c r="BD8" s="50">
        <v>0</v>
      </c>
      <c r="BE8" s="31" t="s">
        <v>25</v>
      </c>
      <c r="BF8" s="50">
        <v>0</v>
      </c>
      <c r="BG8" s="31" t="s">
        <v>59</v>
      </c>
      <c r="BH8" s="51">
        <f>SUM(BB8+BD8+BF8)*16</f>
        <v>0</v>
      </c>
      <c r="BJ8" s="30" t="s">
        <v>23</v>
      </c>
      <c r="BK8" s="50">
        <v>0</v>
      </c>
      <c r="BL8" s="31" t="s">
        <v>24</v>
      </c>
      <c r="BM8" s="50">
        <v>0</v>
      </c>
      <c r="BN8" s="31" t="s">
        <v>25</v>
      </c>
      <c r="BO8" s="50">
        <v>0</v>
      </c>
      <c r="BP8" s="31" t="s">
        <v>59</v>
      </c>
      <c r="BQ8" s="51">
        <f>SUM(BK8+BM8+BO8)*16</f>
        <v>0</v>
      </c>
      <c r="BS8" s="30" t="s">
        <v>23</v>
      </c>
      <c r="BT8" s="50">
        <v>0</v>
      </c>
      <c r="BU8" s="31" t="s">
        <v>24</v>
      </c>
      <c r="BV8" s="50">
        <v>0</v>
      </c>
      <c r="BW8" s="31" t="s">
        <v>25</v>
      </c>
      <c r="BX8" s="50">
        <v>0</v>
      </c>
      <c r="BY8" s="31" t="s">
        <v>59</v>
      </c>
      <c r="BZ8" s="51">
        <f>SUM(BT8+BV8+BX8)*16</f>
        <v>0</v>
      </c>
      <c r="CB8" s="32" t="s">
        <v>49</v>
      </c>
      <c r="CC8" s="33"/>
      <c r="CD8" s="33"/>
      <c r="CE8" s="33">
        <f>(CC7+CE7+CG7)</f>
        <v>0</v>
      </c>
      <c r="CF8" s="33"/>
      <c r="CG8" s="34"/>
    </row>
    <row r="9" spans="3:85" ht="15.75" thickBot="1" x14ac:dyDescent="0.3">
      <c r="N9" s="35" t="s">
        <v>60</v>
      </c>
      <c r="O9" s="4">
        <f>(I8+K8+M8)/3</f>
        <v>0</v>
      </c>
      <c r="W9" s="35" t="s">
        <v>60</v>
      </c>
      <c r="X9" s="36">
        <f>(R8+T8+V8)/3</f>
        <v>0</v>
      </c>
      <c r="AF9" s="35" t="s">
        <v>60</v>
      </c>
      <c r="AG9" s="36">
        <f>(AA8+AC8+AE8)/3</f>
        <v>0</v>
      </c>
      <c r="AO9" s="35" t="s">
        <v>60</v>
      </c>
      <c r="AP9" s="36">
        <f>(AJ8+AL8+AN8)/3</f>
        <v>0</v>
      </c>
      <c r="AX9" s="35" t="s">
        <v>60</v>
      </c>
      <c r="AY9" s="36">
        <f>(AS8+AU8+AW8)/3</f>
        <v>0</v>
      </c>
      <c r="BG9" s="35" t="s">
        <v>60</v>
      </c>
      <c r="BH9" s="36">
        <f>(BB8+BD8+BF8)/3</f>
        <v>0</v>
      </c>
      <c r="BP9" s="35" t="s">
        <v>60</v>
      </c>
      <c r="BQ9" s="36">
        <f>(BK8+BM8+BO8)/3</f>
        <v>0</v>
      </c>
      <c r="BY9" s="35" t="s">
        <v>60</v>
      </c>
      <c r="BZ9" s="36">
        <f>(BT8+BV8+BX8)/3</f>
        <v>0</v>
      </c>
      <c r="CB9" s="38" t="s">
        <v>26</v>
      </c>
      <c r="CC9" s="39"/>
      <c r="CD9" s="39"/>
      <c r="CE9" s="39">
        <f>O9+X9+AG9+AP9+AY9+BH9+BQ9+BZ9</f>
        <v>0</v>
      </c>
      <c r="CF9" s="39"/>
      <c r="CG9" s="40"/>
    </row>
    <row r="10" spans="3:85" ht="15.75" thickBot="1" x14ac:dyDescent="0.3"/>
    <row r="11" spans="3:85" ht="15" customHeight="1" x14ac:dyDescent="0.25">
      <c r="C11" s="33" t="s">
        <v>27</v>
      </c>
      <c r="D11" s="33"/>
      <c r="E11" s="33"/>
      <c r="F11" s="33"/>
      <c r="H11" s="20" t="s">
        <v>21</v>
      </c>
      <c r="I11" s="21"/>
      <c r="J11" s="21"/>
      <c r="K11" s="21"/>
      <c r="L11" s="21"/>
      <c r="M11" s="21"/>
      <c r="N11" s="21"/>
      <c r="O11" s="22"/>
      <c r="Q11" s="20" t="s">
        <v>21</v>
      </c>
      <c r="R11" s="21"/>
      <c r="S11" s="21"/>
      <c r="T11" s="21"/>
      <c r="U11" s="21"/>
      <c r="V11" s="21"/>
      <c r="W11" s="21"/>
      <c r="X11" s="22"/>
      <c r="Z11" s="20" t="s">
        <v>21</v>
      </c>
      <c r="AA11" s="21"/>
      <c r="AB11" s="21"/>
      <c r="AC11" s="21"/>
      <c r="AD11" s="21"/>
      <c r="AE11" s="21"/>
      <c r="AF11" s="21"/>
      <c r="AG11" s="22"/>
      <c r="AI11" s="20" t="s">
        <v>21</v>
      </c>
      <c r="AJ11" s="21"/>
      <c r="AK11" s="21"/>
      <c r="AL11" s="21"/>
      <c r="AM11" s="21"/>
      <c r="AN11" s="21"/>
      <c r="AO11" s="21"/>
      <c r="AP11" s="22"/>
      <c r="AR11" s="20" t="s">
        <v>21</v>
      </c>
      <c r="AS11" s="21"/>
      <c r="AT11" s="21"/>
      <c r="AU11" s="21"/>
      <c r="AV11" s="21"/>
      <c r="AW11" s="21"/>
      <c r="AX11" s="21"/>
      <c r="AY11" s="22"/>
      <c r="BA11" s="20" t="s">
        <v>21</v>
      </c>
      <c r="BB11" s="21"/>
      <c r="BC11" s="21"/>
      <c r="BD11" s="21"/>
      <c r="BE11" s="21"/>
      <c r="BF11" s="21"/>
      <c r="BG11" s="21"/>
      <c r="BH11" s="22"/>
      <c r="BJ11" s="20" t="s">
        <v>21</v>
      </c>
      <c r="BK11" s="21"/>
      <c r="BL11" s="21"/>
      <c r="BM11" s="21"/>
      <c r="BN11" s="21"/>
      <c r="BO11" s="21"/>
      <c r="BP11" s="21"/>
      <c r="BQ11" s="22"/>
      <c r="BS11" s="20" t="s">
        <v>21</v>
      </c>
      <c r="BT11" s="21"/>
      <c r="BU11" s="21"/>
      <c r="BV11" s="21"/>
      <c r="BW11" s="21"/>
      <c r="BX11" s="21"/>
      <c r="BY11" s="21"/>
      <c r="BZ11" s="22"/>
      <c r="CB11" s="23" t="s">
        <v>65</v>
      </c>
      <c r="CC11" s="24"/>
      <c r="CD11" s="24"/>
      <c r="CE11" s="24"/>
      <c r="CF11" s="24"/>
      <c r="CG11" s="25"/>
    </row>
    <row r="12" spans="3:85" x14ac:dyDescent="0.25">
      <c r="C12" s="33"/>
      <c r="D12" s="33"/>
      <c r="E12" s="33"/>
      <c r="F12" s="33"/>
      <c r="H12" s="26"/>
      <c r="I12" s="12"/>
      <c r="J12" s="12"/>
      <c r="K12" s="12"/>
      <c r="L12" s="12"/>
      <c r="M12" s="12"/>
      <c r="N12" s="12"/>
      <c r="O12" s="27"/>
      <c r="Q12" s="26"/>
      <c r="R12" s="12"/>
      <c r="S12" s="12"/>
      <c r="T12" s="12"/>
      <c r="U12" s="12"/>
      <c r="V12" s="12"/>
      <c r="W12" s="12"/>
      <c r="X12" s="27"/>
      <c r="Z12" s="26"/>
      <c r="AA12" s="12"/>
      <c r="AB12" s="12"/>
      <c r="AC12" s="12"/>
      <c r="AD12" s="12"/>
      <c r="AE12" s="12"/>
      <c r="AF12" s="12"/>
      <c r="AG12" s="27"/>
      <c r="AI12" s="26"/>
      <c r="AJ12" s="12"/>
      <c r="AK12" s="12"/>
      <c r="AL12" s="12"/>
      <c r="AM12" s="12"/>
      <c r="AN12" s="12"/>
      <c r="AO12" s="12"/>
      <c r="AP12" s="27"/>
      <c r="AR12" s="26"/>
      <c r="AS12" s="12"/>
      <c r="AT12" s="12"/>
      <c r="AU12" s="12"/>
      <c r="AV12" s="12"/>
      <c r="AW12" s="12"/>
      <c r="AX12" s="12"/>
      <c r="AY12" s="27"/>
      <c r="BA12" s="26"/>
      <c r="BB12" s="12"/>
      <c r="BC12" s="12"/>
      <c r="BD12" s="12"/>
      <c r="BE12" s="12"/>
      <c r="BF12" s="12"/>
      <c r="BG12" s="12"/>
      <c r="BH12" s="27"/>
      <c r="BJ12" s="26"/>
      <c r="BK12" s="12"/>
      <c r="BL12" s="12"/>
      <c r="BM12" s="12"/>
      <c r="BN12" s="12"/>
      <c r="BO12" s="12"/>
      <c r="BP12" s="12"/>
      <c r="BQ12" s="27"/>
      <c r="BS12" s="26"/>
      <c r="BT12" s="12"/>
      <c r="BU12" s="12"/>
      <c r="BV12" s="12"/>
      <c r="BW12" s="12"/>
      <c r="BX12" s="12"/>
      <c r="BY12" s="12"/>
      <c r="BZ12" s="27"/>
      <c r="CB12" s="28" t="s">
        <v>23</v>
      </c>
      <c r="CC12" s="10">
        <f>(I13+R13+AA13+AJ13+AS13+BB13+BK13+BT13)*16</f>
        <v>0</v>
      </c>
      <c r="CD12" s="3" t="s">
        <v>24</v>
      </c>
      <c r="CE12" s="10">
        <f>(K13+T13+AC13+AL13+AU13+BD13+BM13+BV13)*16</f>
        <v>0</v>
      </c>
      <c r="CF12" s="3" t="s">
        <v>25</v>
      </c>
      <c r="CG12" s="29">
        <f>(M13+V13+AE13+AN13+AW13+BF13+BO13+BX13)*16</f>
        <v>0</v>
      </c>
    </row>
    <row r="13" spans="3:85" ht="15.75" thickBot="1" x14ac:dyDescent="0.3">
      <c r="H13" s="30" t="s">
        <v>23</v>
      </c>
      <c r="I13" s="50"/>
      <c r="J13" s="31" t="s">
        <v>24</v>
      </c>
      <c r="K13" s="50"/>
      <c r="L13" s="31" t="s">
        <v>25</v>
      </c>
      <c r="M13" s="50"/>
      <c r="N13" s="31" t="s">
        <v>59</v>
      </c>
      <c r="O13" s="51">
        <f>SUM(I13+K13+M13)*16</f>
        <v>0</v>
      </c>
      <c r="Q13" s="30" t="s">
        <v>23</v>
      </c>
      <c r="R13" s="50"/>
      <c r="S13" s="31" t="s">
        <v>24</v>
      </c>
      <c r="T13" s="50"/>
      <c r="U13" s="31" t="s">
        <v>25</v>
      </c>
      <c r="V13" s="50"/>
      <c r="W13" s="31" t="s">
        <v>59</v>
      </c>
      <c r="X13" s="51">
        <f>SUM(R13+T13+V13)*16</f>
        <v>0</v>
      </c>
      <c r="Z13" s="30" t="s">
        <v>23</v>
      </c>
      <c r="AA13" s="50"/>
      <c r="AB13" s="31" t="s">
        <v>24</v>
      </c>
      <c r="AC13" s="50"/>
      <c r="AD13" s="31" t="s">
        <v>25</v>
      </c>
      <c r="AE13" s="50"/>
      <c r="AF13" s="31" t="s">
        <v>59</v>
      </c>
      <c r="AG13" s="51">
        <f>SUM(AA13+AC13+AE13)*16</f>
        <v>0</v>
      </c>
      <c r="AI13" s="30" t="s">
        <v>23</v>
      </c>
      <c r="AJ13" s="50"/>
      <c r="AK13" s="31" t="s">
        <v>24</v>
      </c>
      <c r="AL13" s="50"/>
      <c r="AM13" s="31" t="s">
        <v>25</v>
      </c>
      <c r="AN13" s="50"/>
      <c r="AO13" s="31" t="s">
        <v>59</v>
      </c>
      <c r="AP13" s="51">
        <f>SUM(AJ13+AL13+AN13)*16</f>
        <v>0</v>
      </c>
      <c r="AR13" s="30" t="s">
        <v>23</v>
      </c>
      <c r="AS13" s="50"/>
      <c r="AT13" s="31" t="s">
        <v>24</v>
      </c>
      <c r="AU13" s="50"/>
      <c r="AV13" s="31" t="s">
        <v>25</v>
      </c>
      <c r="AW13" s="50"/>
      <c r="AX13" s="31" t="s">
        <v>59</v>
      </c>
      <c r="AY13" s="51">
        <f>SUM(AS13+AU13+AW13)*16</f>
        <v>0</v>
      </c>
      <c r="BA13" s="30" t="s">
        <v>23</v>
      </c>
      <c r="BB13" s="50"/>
      <c r="BC13" s="31" t="s">
        <v>24</v>
      </c>
      <c r="BD13" s="50"/>
      <c r="BE13" s="31" t="s">
        <v>25</v>
      </c>
      <c r="BF13" s="50"/>
      <c r="BG13" s="31" t="s">
        <v>59</v>
      </c>
      <c r="BH13" s="51">
        <f>SUM(BB13+BD13+BF13)*16</f>
        <v>0</v>
      </c>
      <c r="BJ13" s="30" t="s">
        <v>23</v>
      </c>
      <c r="BK13" s="50"/>
      <c r="BL13" s="31" t="s">
        <v>24</v>
      </c>
      <c r="BM13" s="50"/>
      <c r="BN13" s="31" t="s">
        <v>25</v>
      </c>
      <c r="BO13" s="50"/>
      <c r="BP13" s="31" t="s">
        <v>59</v>
      </c>
      <c r="BQ13" s="51">
        <f>SUM(BK13+BM13+BO13)*16</f>
        <v>0</v>
      </c>
      <c r="BS13" s="30" t="s">
        <v>23</v>
      </c>
      <c r="BT13" s="50">
        <v>0</v>
      </c>
      <c r="BU13" s="31" t="s">
        <v>24</v>
      </c>
      <c r="BV13" s="50">
        <v>0</v>
      </c>
      <c r="BW13" s="31" t="s">
        <v>25</v>
      </c>
      <c r="BX13" s="50">
        <v>0</v>
      </c>
      <c r="BY13" s="31" t="s">
        <v>59</v>
      </c>
      <c r="BZ13" s="51">
        <f>SUM(BT13+BV13+BX13)*16</f>
        <v>0</v>
      </c>
      <c r="CB13" s="32" t="s">
        <v>49</v>
      </c>
      <c r="CC13" s="33"/>
      <c r="CD13" s="33"/>
      <c r="CE13" s="33">
        <f>(CC12+CE12+CG12)</f>
        <v>0</v>
      </c>
      <c r="CF13" s="33"/>
      <c r="CG13" s="34"/>
    </row>
    <row r="14" spans="3:85" ht="15.75" thickBot="1" x14ac:dyDescent="0.3">
      <c r="N14" s="35" t="s">
        <v>60</v>
      </c>
      <c r="O14" s="4">
        <f>(I13+K13+M13)/3</f>
        <v>0</v>
      </c>
      <c r="W14" s="35" t="s">
        <v>60</v>
      </c>
      <c r="X14" s="4">
        <f>(R13+T13+V13)/3</f>
        <v>0</v>
      </c>
      <c r="AF14" s="35" t="s">
        <v>60</v>
      </c>
      <c r="AG14" s="4">
        <f>(AA13+AC13+AE13)/3</f>
        <v>0</v>
      </c>
      <c r="AO14" s="35" t="s">
        <v>60</v>
      </c>
      <c r="AP14" s="4">
        <f>(AJ13+AL13+AN13)/3</f>
        <v>0</v>
      </c>
      <c r="AX14" s="35" t="s">
        <v>60</v>
      </c>
      <c r="AY14" s="4">
        <f>(AS13+AU13+AW13)/3</f>
        <v>0</v>
      </c>
      <c r="BG14" s="35" t="s">
        <v>60</v>
      </c>
      <c r="BH14" s="4">
        <f>(BB13+BD13+BF13)/3</f>
        <v>0</v>
      </c>
      <c r="BP14" s="35" t="s">
        <v>60</v>
      </c>
      <c r="BQ14" s="4">
        <f>(BK13+BM13+BO13)/3</f>
        <v>0</v>
      </c>
      <c r="BY14" s="35" t="s">
        <v>60</v>
      </c>
      <c r="BZ14" s="36">
        <f>(BT13+BV13+BX13)/3</f>
        <v>0</v>
      </c>
      <c r="CB14" s="38" t="s">
        <v>26</v>
      </c>
      <c r="CC14" s="39"/>
      <c r="CD14" s="39"/>
      <c r="CE14" s="39">
        <f>O14+X14+AG14+AP14+AY14+BH14+BQ14+BZ14</f>
        <v>0</v>
      </c>
      <c r="CF14" s="39"/>
      <c r="CG14" s="40"/>
    </row>
    <row r="15" spans="3:85" ht="15.75" thickBot="1" x14ac:dyDescent="0.3"/>
    <row r="16" spans="3:85" ht="15" customHeight="1" x14ac:dyDescent="0.25">
      <c r="C16" s="33" t="s">
        <v>28</v>
      </c>
      <c r="D16" s="33"/>
      <c r="E16" s="33"/>
      <c r="F16" s="33"/>
      <c r="H16" s="20" t="s">
        <v>21</v>
      </c>
      <c r="I16" s="21"/>
      <c r="J16" s="21"/>
      <c r="K16" s="21"/>
      <c r="L16" s="21"/>
      <c r="M16" s="21"/>
      <c r="N16" s="21"/>
      <c r="O16" s="22"/>
      <c r="Q16" s="20" t="s">
        <v>21</v>
      </c>
      <c r="R16" s="21"/>
      <c r="S16" s="21"/>
      <c r="T16" s="21"/>
      <c r="U16" s="21"/>
      <c r="V16" s="21"/>
      <c r="W16" s="21"/>
      <c r="X16" s="22"/>
      <c r="Z16" s="20" t="s">
        <v>21</v>
      </c>
      <c r="AA16" s="21"/>
      <c r="AB16" s="21"/>
      <c r="AC16" s="21"/>
      <c r="AD16" s="21"/>
      <c r="AE16" s="21"/>
      <c r="AF16" s="21"/>
      <c r="AG16" s="22"/>
      <c r="AI16" s="20" t="s">
        <v>21</v>
      </c>
      <c r="AJ16" s="21"/>
      <c r="AK16" s="21"/>
      <c r="AL16" s="21"/>
      <c r="AM16" s="21"/>
      <c r="AN16" s="21"/>
      <c r="AO16" s="21"/>
      <c r="AP16" s="22"/>
      <c r="AR16" s="20" t="s">
        <v>21</v>
      </c>
      <c r="AS16" s="21"/>
      <c r="AT16" s="21"/>
      <c r="AU16" s="21"/>
      <c r="AV16" s="21"/>
      <c r="AW16" s="21"/>
      <c r="AX16" s="21"/>
      <c r="AY16" s="22"/>
      <c r="BA16" s="20" t="s">
        <v>21</v>
      </c>
      <c r="BB16" s="21"/>
      <c r="BC16" s="21"/>
      <c r="BD16" s="21"/>
      <c r="BE16" s="21"/>
      <c r="BF16" s="21"/>
      <c r="BG16" s="21"/>
      <c r="BH16" s="22"/>
      <c r="BJ16" s="20" t="s">
        <v>21</v>
      </c>
      <c r="BK16" s="21"/>
      <c r="BL16" s="21"/>
      <c r="BM16" s="21"/>
      <c r="BN16" s="21"/>
      <c r="BO16" s="21"/>
      <c r="BP16" s="21"/>
      <c r="BQ16" s="22"/>
      <c r="BS16" s="20" t="s">
        <v>21</v>
      </c>
      <c r="BT16" s="21"/>
      <c r="BU16" s="21"/>
      <c r="BV16" s="21"/>
      <c r="BW16" s="21"/>
      <c r="BX16" s="21"/>
      <c r="BY16" s="21"/>
      <c r="BZ16" s="22"/>
      <c r="CB16" s="23" t="s">
        <v>66</v>
      </c>
      <c r="CC16" s="24"/>
      <c r="CD16" s="24"/>
      <c r="CE16" s="24"/>
      <c r="CF16" s="24"/>
      <c r="CG16" s="25"/>
    </row>
    <row r="17" spans="3:85" x14ac:dyDescent="0.25">
      <c r="C17" s="33"/>
      <c r="D17" s="33"/>
      <c r="E17" s="33"/>
      <c r="F17" s="33"/>
      <c r="H17" s="26"/>
      <c r="I17" s="12"/>
      <c r="J17" s="12"/>
      <c r="K17" s="12"/>
      <c r="L17" s="12"/>
      <c r="M17" s="12"/>
      <c r="N17" s="12"/>
      <c r="O17" s="27"/>
      <c r="Q17" s="26"/>
      <c r="R17" s="12"/>
      <c r="S17" s="12"/>
      <c r="T17" s="12"/>
      <c r="U17" s="12"/>
      <c r="V17" s="12"/>
      <c r="W17" s="12"/>
      <c r="X17" s="27"/>
      <c r="Z17" s="26"/>
      <c r="AA17" s="12"/>
      <c r="AB17" s="12"/>
      <c r="AC17" s="12"/>
      <c r="AD17" s="12"/>
      <c r="AE17" s="12"/>
      <c r="AF17" s="12"/>
      <c r="AG17" s="27"/>
      <c r="AI17" s="26"/>
      <c r="AJ17" s="12"/>
      <c r="AK17" s="12"/>
      <c r="AL17" s="12"/>
      <c r="AM17" s="12"/>
      <c r="AN17" s="12"/>
      <c r="AO17" s="12"/>
      <c r="AP17" s="27"/>
      <c r="AR17" s="26"/>
      <c r="AS17" s="12"/>
      <c r="AT17" s="12"/>
      <c r="AU17" s="12"/>
      <c r="AV17" s="12"/>
      <c r="AW17" s="12"/>
      <c r="AX17" s="12"/>
      <c r="AY17" s="27"/>
      <c r="BA17" s="26"/>
      <c r="BB17" s="12"/>
      <c r="BC17" s="12"/>
      <c r="BD17" s="12"/>
      <c r="BE17" s="12"/>
      <c r="BF17" s="12"/>
      <c r="BG17" s="12"/>
      <c r="BH17" s="27"/>
      <c r="BJ17" s="26"/>
      <c r="BK17" s="12"/>
      <c r="BL17" s="12"/>
      <c r="BM17" s="12"/>
      <c r="BN17" s="12"/>
      <c r="BO17" s="12"/>
      <c r="BP17" s="12"/>
      <c r="BQ17" s="27"/>
      <c r="BS17" s="26"/>
      <c r="BT17" s="12"/>
      <c r="BU17" s="12"/>
      <c r="BV17" s="12"/>
      <c r="BW17" s="12"/>
      <c r="BX17" s="12"/>
      <c r="BY17" s="12"/>
      <c r="BZ17" s="27"/>
      <c r="CB17" s="28" t="s">
        <v>23</v>
      </c>
      <c r="CC17" s="10">
        <f>(I18+R18+AA18+AJ18+AS18+BB18+BK18+BT18)*16</f>
        <v>0</v>
      </c>
      <c r="CD17" s="3" t="s">
        <v>24</v>
      </c>
      <c r="CE17" s="10">
        <f>(K18+T18+AC18+AL18+AU18+BD18+BM18+BV18)*16</f>
        <v>0</v>
      </c>
      <c r="CF17" s="3" t="s">
        <v>25</v>
      </c>
      <c r="CG17" s="29">
        <f>(M18+V18+AE18+AN18+AW18+BF18+BO18+BX18)*16</f>
        <v>0</v>
      </c>
    </row>
    <row r="18" spans="3:85" ht="15.75" thickBot="1" x14ac:dyDescent="0.3">
      <c r="H18" s="30" t="s">
        <v>23</v>
      </c>
      <c r="I18" s="50"/>
      <c r="J18" s="31" t="s">
        <v>24</v>
      </c>
      <c r="K18" s="50"/>
      <c r="L18" s="31" t="s">
        <v>25</v>
      </c>
      <c r="M18" s="50"/>
      <c r="N18" s="31" t="s">
        <v>59</v>
      </c>
      <c r="O18" s="51">
        <f>SUM(I18+K18+M18)*16</f>
        <v>0</v>
      </c>
      <c r="Q18" s="30" t="s">
        <v>23</v>
      </c>
      <c r="R18" s="50"/>
      <c r="S18" s="31" t="s">
        <v>24</v>
      </c>
      <c r="T18" s="50"/>
      <c r="U18" s="31" t="s">
        <v>25</v>
      </c>
      <c r="V18" s="50"/>
      <c r="W18" s="31" t="s">
        <v>59</v>
      </c>
      <c r="X18" s="51">
        <f>SUM(R18+T18+V18)*16</f>
        <v>0</v>
      </c>
      <c r="Z18" s="30" t="s">
        <v>23</v>
      </c>
      <c r="AA18" s="50"/>
      <c r="AB18" s="31" t="s">
        <v>24</v>
      </c>
      <c r="AC18" s="50"/>
      <c r="AD18" s="31" t="s">
        <v>25</v>
      </c>
      <c r="AE18" s="50"/>
      <c r="AF18" s="31" t="s">
        <v>59</v>
      </c>
      <c r="AG18" s="51">
        <f>SUM(AA18+AC18+AE18)*16</f>
        <v>0</v>
      </c>
      <c r="AI18" s="30" t="s">
        <v>23</v>
      </c>
      <c r="AJ18" s="50"/>
      <c r="AK18" s="31" t="s">
        <v>24</v>
      </c>
      <c r="AL18" s="50"/>
      <c r="AM18" s="31" t="s">
        <v>25</v>
      </c>
      <c r="AN18" s="50"/>
      <c r="AO18" s="31" t="s">
        <v>59</v>
      </c>
      <c r="AP18" s="51">
        <f>SUM(AJ18+AL18+AN18)*16</f>
        <v>0</v>
      </c>
      <c r="AR18" s="30" t="s">
        <v>23</v>
      </c>
      <c r="AS18" s="50"/>
      <c r="AT18" s="31" t="s">
        <v>24</v>
      </c>
      <c r="AU18" s="50"/>
      <c r="AV18" s="31" t="s">
        <v>25</v>
      </c>
      <c r="AW18" s="50"/>
      <c r="AX18" s="31" t="s">
        <v>59</v>
      </c>
      <c r="AY18" s="51">
        <f>SUM(AS18+AU18+AW18)*16</f>
        <v>0</v>
      </c>
      <c r="BA18" s="30" t="s">
        <v>23</v>
      </c>
      <c r="BB18" s="50"/>
      <c r="BC18" s="31" t="s">
        <v>24</v>
      </c>
      <c r="BD18" s="50"/>
      <c r="BE18" s="31" t="s">
        <v>25</v>
      </c>
      <c r="BF18" s="50"/>
      <c r="BG18" s="31" t="s">
        <v>59</v>
      </c>
      <c r="BH18" s="51">
        <f>SUM(BB18+BD18+BF18)*16</f>
        <v>0</v>
      </c>
      <c r="BJ18" s="30" t="s">
        <v>23</v>
      </c>
      <c r="BK18" s="50"/>
      <c r="BL18" s="31" t="s">
        <v>24</v>
      </c>
      <c r="BM18" s="50"/>
      <c r="BN18" s="31" t="s">
        <v>25</v>
      </c>
      <c r="BO18" s="50"/>
      <c r="BP18" s="31" t="s">
        <v>59</v>
      </c>
      <c r="BQ18" s="51">
        <f>SUM(BK18+BM18+BO18)*16</f>
        <v>0</v>
      </c>
      <c r="BS18" s="30" t="s">
        <v>23</v>
      </c>
      <c r="BT18" s="50">
        <v>0</v>
      </c>
      <c r="BU18" s="31" t="s">
        <v>24</v>
      </c>
      <c r="BV18" s="50">
        <v>0</v>
      </c>
      <c r="BW18" s="31" t="s">
        <v>25</v>
      </c>
      <c r="BX18" s="50">
        <v>0</v>
      </c>
      <c r="BY18" s="31" t="s">
        <v>59</v>
      </c>
      <c r="BZ18" s="51">
        <f>SUM(BT18+BV18+BX18)*16</f>
        <v>0</v>
      </c>
      <c r="CB18" s="32" t="s">
        <v>49</v>
      </c>
      <c r="CC18" s="33"/>
      <c r="CD18" s="33"/>
      <c r="CE18" s="33">
        <f>(CC17+CE17+CG17)</f>
        <v>0</v>
      </c>
      <c r="CF18" s="33"/>
      <c r="CG18" s="34"/>
    </row>
    <row r="19" spans="3:85" ht="15.75" thickBot="1" x14ac:dyDescent="0.3">
      <c r="N19" s="35" t="s">
        <v>60</v>
      </c>
      <c r="O19" s="4">
        <f>(I18+K18+M18)/3</f>
        <v>0</v>
      </c>
      <c r="W19" s="35" t="s">
        <v>60</v>
      </c>
      <c r="X19" s="4">
        <f>(R18+T18+V18)/3</f>
        <v>0</v>
      </c>
      <c r="AF19" s="35" t="s">
        <v>60</v>
      </c>
      <c r="AG19" s="4">
        <f>(AA18+AC18+AE18)/3</f>
        <v>0</v>
      </c>
      <c r="AO19" s="35" t="s">
        <v>60</v>
      </c>
      <c r="AP19" s="4">
        <f>(AJ18+AL18+AN18)/3</f>
        <v>0</v>
      </c>
      <c r="AX19" s="35" t="s">
        <v>60</v>
      </c>
      <c r="AY19" s="4">
        <f>(AS18+AU18+AW18)/3</f>
        <v>0</v>
      </c>
      <c r="BG19" s="35" t="s">
        <v>60</v>
      </c>
      <c r="BH19" s="4">
        <f>(BB18+BD18+BF18)/3</f>
        <v>0</v>
      </c>
      <c r="BP19" s="35" t="s">
        <v>60</v>
      </c>
      <c r="BQ19" s="4">
        <f>(BK18+BM18+BO18)/3</f>
        <v>0</v>
      </c>
      <c r="BY19" s="35" t="s">
        <v>60</v>
      </c>
      <c r="BZ19" s="36">
        <f>(BT18+BV18+BX18)/3</f>
        <v>0</v>
      </c>
      <c r="CB19" s="38" t="s">
        <v>26</v>
      </c>
      <c r="CC19" s="39"/>
      <c r="CD19" s="39"/>
      <c r="CE19" s="39">
        <f>O19+X19+AG19+AP19+AY19+BH19+BQ19+BZ19</f>
        <v>0</v>
      </c>
      <c r="CF19" s="39"/>
      <c r="CG19" s="40"/>
    </row>
    <row r="20" spans="3:85" ht="15.75" thickBot="1" x14ac:dyDescent="0.3"/>
    <row r="21" spans="3:85" ht="15" customHeight="1" x14ac:dyDescent="0.25">
      <c r="C21" s="33" t="s">
        <v>29</v>
      </c>
      <c r="D21" s="33"/>
      <c r="E21" s="33"/>
      <c r="F21" s="33"/>
      <c r="H21" s="20" t="s">
        <v>21</v>
      </c>
      <c r="I21" s="21"/>
      <c r="J21" s="21"/>
      <c r="K21" s="21"/>
      <c r="L21" s="21"/>
      <c r="M21" s="21"/>
      <c r="N21" s="21"/>
      <c r="O21" s="22"/>
      <c r="Q21" s="20" t="s">
        <v>21</v>
      </c>
      <c r="R21" s="21"/>
      <c r="S21" s="21"/>
      <c r="T21" s="21"/>
      <c r="U21" s="21"/>
      <c r="V21" s="21"/>
      <c r="W21" s="21"/>
      <c r="X21" s="22"/>
      <c r="Z21" s="20" t="s">
        <v>21</v>
      </c>
      <c r="AA21" s="21"/>
      <c r="AB21" s="21"/>
      <c r="AC21" s="21"/>
      <c r="AD21" s="21"/>
      <c r="AE21" s="21"/>
      <c r="AF21" s="21"/>
      <c r="AG21" s="22"/>
      <c r="AI21" s="20" t="s">
        <v>21</v>
      </c>
      <c r="AJ21" s="21"/>
      <c r="AK21" s="21"/>
      <c r="AL21" s="21"/>
      <c r="AM21" s="21"/>
      <c r="AN21" s="21"/>
      <c r="AO21" s="21"/>
      <c r="AP21" s="22"/>
      <c r="AR21" s="20" t="s">
        <v>21</v>
      </c>
      <c r="AS21" s="21"/>
      <c r="AT21" s="21"/>
      <c r="AU21" s="21"/>
      <c r="AV21" s="21"/>
      <c r="AW21" s="21"/>
      <c r="AX21" s="21"/>
      <c r="AY21" s="22"/>
      <c r="BA21" s="20" t="s">
        <v>21</v>
      </c>
      <c r="BB21" s="21"/>
      <c r="BC21" s="21"/>
      <c r="BD21" s="21"/>
      <c r="BE21" s="21"/>
      <c r="BF21" s="21"/>
      <c r="BG21" s="21"/>
      <c r="BH21" s="22"/>
      <c r="BJ21" s="20" t="s">
        <v>21</v>
      </c>
      <c r="BK21" s="21"/>
      <c r="BL21" s="21"/>
      <c r="BM21" s="21"/>
      <c r="BN21" s="21"/>
      <c r="BO21" s="21"/>
      <c r="BP21" s="21"/>
      <c r="BQ21" s="22"/>
      <c r="BS21" s="20" t="s">
        <v>21</v>
      </c>
      <c r="BT21" s="21"/>
      <c r="BU21" s="21"/>
      <c r="BV21" s="21"/>
      <c r="BW21" s="21"/>
      <c r="BX21" s="21"/>
      <c r="BY21" s="21"/>
      <c r="BZ21" s="22"/>
      <c r="CB21" s="23" t="s">
        <v>67</v>
      </c>
      <c r="CC21" s="24"/>
      <c r="CD21" s="24"/>
      <c r="CE21" s="24"/>
      <c r="CF21" s="24"/>
      <c r="CG21" s="25"/>
    </row>
    <row r="22" spans="3:85" x14ac:dyDescent="0.25">
      <c r="C22" s="33"/>
      <c r="D22" s="33"/>
      <c r="E22" s="33"/>
      <c r="F22" s="33"/>
      <c r="H22" s="26"/>
      <c r="I22" s="12"/>
      <c r="J22" s="12"/>
      <c r="K22" s="12"/>
      <c r="L22" s="12"/>
      <c r="M22" s="12"/>
      <c r="N22" s="12"/>
      <c r="O22" s="27"/>
      <c r="Q22" s="26"/>
      <c r="R22" s="12"/>
      <c r="S22" s="12"/>
      <c r="T22" s="12"/>
      <c r="U22" s="12"/>
      <c r="V22" s="12"/>
      <c r="W22" s="12"/>
      <c r="X22" s="27"/>
      <c r="Z22" s="26"/>
      <c r="AA22" s="12"/>
      <c r="AB22" s="12"/>
      <c r="AC22" s="12"/>
      <c r="AD22" s="12"/>
      <c r="AE22" s="12"/>
      <c r="AF22" s="12"/>
      <c r="AG22" s="27"/>
      <c r="AI22" s="26"/>
      <c r="AJ22" s="12"/>
      <c r="AK22" s="12"/>
      <c r="AL22" s="12"/>
      <c r="AM22" s="12"/>
      <c r="AN22" s="12"/>
      <c r="AO22" s="12"/>
      <c r="AP22" s="27"/>
      <c r="AR22" s="26"/>
      <c r="AS22" s="12"/>
      <c r="AT22" s="12"/>
      <c r="AU22" s="12"/>
      <c r="AV22" s="12"/>
      <c r="AW22" s="12"/>
      <c r="AX22" s="12"/>
      <c r="AY22" s="27"/>
      <c r="BA22" s="26"/>
      <c r="BB22" s="12"/>
      <c r="BC22" s="12"/>
      <c r="BD22" s="12"/>
      <c r="BE22" s="12"/>
      <c r="BF22" s="12"/>
      <c r="BG22" s="12"/>
      <c r="BH22" s="27"/>
      <c r="BJ22" s="26"/>
      <c r="BK22" s="12"/>
      <c r="BL22" s="12"/>
      <c r="BM22" s="12"/>
      <c r="BN22" s="12"/>
      <c r="BO22" s="12"/>
      <c r="BP22" s="12"/>
      <c r="BQ22" s="27"/>
      <c r="BS22" s="26"/>
      <c r="BT22" s="12"/>
      <c r="BU22" s="12"/>
      <c r="BV22" s="12"/>
      <c r="BW22" s="12"/>
      <c r="BX22" s="12"/>
      <c r="BY22" s="12"/>
      <c r="BZ22" s="27"/>
      <c r="CB22" s="28" t="s">
        <v>23</v>
      </c>
      <c r="CC22" s="10">
        <f>(I23+R23+AA23+AJ23+AS23+BB23+BK23+BT23)*16</f>
        <v>0</v>
      </c>
      <c r="CD22" s="3" t="s">
        <v>24</v>
      </c>
      <c r="CE22" s="10">
        <f>(K23+T23+AC23+AL23+AU23+BD23+BM23+BV23)*16</f>
        <v>0</v>
      </c>
      <c r="CF22" s="3" t="s">
        <v>25</v>
      </c>
      <c r="CG22" s="29">
        <f>(M23+V23+AE23+AN23+AW23+BF23+BO23+BX23)*16</f>
        <v>0</v>
      </c>
    </row>
    <row r="23" spans="3:85" ht="15.75" thickBot="1" x14ac:dyDescent="0.3">
      <c r="H23" s="30" t="s">
        <v>23</v>
      </c>
      <c r="I23" s="50"/>
      <c r="J23" s="31" t="s">
        <v>24</v>
      </c>
      <c r="K23" s="50"/>
      <c r="L23" s="31" t="s">
        <v>25</v>
      </c>
      <c r="M23" s="50"/>
      <c r="N23" s="31" t="s">
        <v>59</v>
      </c>
      <c r="O23" s="51">
        <f>SUM(I23+K23+M23)*16</f>
        <v>0</v>
      </c>
      <c r="Q23" s="30" t="s">
        <v>23</v>
      </c>
      <c r="R23" s="50"/>
      <c r="S23" s="31" t="s">
        <v>24</v>
      </c>
      <c r="T23" s="50"/>
      <c r="U23" s="31" t="s">
        <v>25</v>
      </c>
      <c r="V23" s="50"/>
      <c r="W23" s="31" t="s">
        <v>59</v>
      </c>
      <c r="X23" s="51">
        <f>SUM(R23+T23+V23)*16</f>
        <v>0</v>
      </c>
      <c r="Z23" s="30" t="s">
        <v>23</v>
      </c>
      <c r="AA23" s="50"/>
      <c r="AB23" s="31" t="s">
        <v>24</v>
      </c>
      <c r="AC23" s="50"/>
      <c r="AD23" s="31" t="s">
        <v>25</v>
      </c>
      <c r="AE23" s="50"/>
      <c r="AF23" s="31" t="s">
        <v>59</v>
      </c>
      <c r="AG23" s="51">
        <f>SUM(AA23+AC23+AE23)*16</f>
        <v>0</v>
      </c>
      <c r="AI23" s="30" t="s">
        <v>23</v>
      </c>
      <c r="AJ23" s="50"/>
      <c r="AK23" s="31" t="s">
        <v>24</v>
      </c>
      <c r="AL23" s="50"/>
      <c r="AM23" s="31" t="s">
        <v>25</v>
      </c>
      <c r="AN23" s="50"/>
      <c r="AO23" s="31" t="s">
        <v>59</v>
      </c>
      <c r="AP23" s="51">
        <f>SUM(AJ23+AL23+AN23)*16</f>
        <v>0</v>
      </c>
      <c r="AR23" s="30" t="s">
        <v>23</v>
      </c>
      <c r="AS23" s="50"/>
      <c r="AT23" s="31" t="s">
        <v>24</v>
      </c>
      <c r="AU23" s="50"/>
      <c r="AV23" s="31" t="s">
        <v>25</v>
      </c>
      <c r="AW23" s="50"/>
      <c r="AX23" s="31" t="s">
        <v>59</v>
      </c>
      <c r="AY23" s="51">
        <f>SUM(AS23+AU23+AW23)*16</f>
        <v>0</v>
      </c>
      <c r="BA23" s="30" t="s">
        <v>23</v>
      </c>
      <c r="BB23" s="50"/>
      <c r="BC23" s="31" t="s">
        <v>24</v>
      </c>
      <c r="BD23" s="50"/>
      <c r="BE23" s="31" t="s">
        <v>25</v>
      </c>
      <c r="BF23" s="50"/>
      <c r="BG23" s="31" t="s">
        <v>59</v>
      </c>
      <c r="BH23" s="51">
        <f>SUM(BB23+BD23+BF23)*16</f>
        <v>0</v>
      </c>
      <c r="BJ23" s="30" t="s">
        <v>23</v>
      </c>
      <c r="BK23" s="50"/>
      <c r="BL23" s="31" t="s">
        <v>24</v>
      </c>
      <c r="BM23" s="50"/>
      <c r="BN23" s="31" t="s">
        <v>25</v>
      </c>
      <c r="BO23" s="50"/>
      <c r="BP23" s="31" t="s">
        <v>59</v>
      </c>
      <c r="BQ23" s="51">
        <f>SUM(BK23+BM23+BO23)*16</f>
        <v>0</v>
      </c>
      <c r="BS23" s="30" t="s">
        <v>23</v>
      </c>
      <c r="BT23" s="50">
        <v>0</v>
      </c>
      <c r="BU23" s="31" t="s">
        <v>24</v>
      </c>
      <c r="BV23" s="50">
        <v>0</v>
      </c>
      <c r="BW23" s="31" t="s">
        <v>25</v>
      </c>
      <c r="BX23" s="50">
        <v>0</v>
      </c>
      <c r="BY23" s="31" t="s">
        <v>59</v>
      </c>
      <c r="BZ23" s="51">
        <f>SUM(BT23+BV23+BX23)*16</f>
        <v>0</v>
      </c>
      <c r="CB23" s="32" t="s">
        <v>49</v>
      </c>
      <c r="CC23" s="33"/>
      <c r="CD23" s="33"/>
      <c r="CE23" s="33">
        <f>(CC22+CE22+CG22)</f>
        <v>0</v>
      </c>
      <c r="CF23" s="33"/>
      <c r="CG23" s="34"/>
    </row>
    <row r="24" spans="3:85" ht="15.75" thickBot="1" x14ac:dyDescent="0.3">
      <c r="N24" s="35" t="s">
        <v>60</v>
      </c>
      <c r="O24" s="4">
        <f>(I23+K23+M23)/3</f>
        <v>0</v>
      </c>
      <c r="W24" s="35" t="s">
        <v>60</v>
      </c>
      <c r="X24" s="4">
        <f>(R23+T23+V23)/3</f>
        <v>0</v>
      </c>
      <c r="AF24" s="35" t="s">
        <v>60</v>
      </c>
      <c r="AG24" s="4">
        <f>(AA23+AC23+AE23)/3</f>
        <v>0</v>
      </c>
      <c r="AO24" s="35" t="s">
        <v>60</v>
      </c>
      <c r="AP24" s="4">
        <f>(AJ23+AL23+AN23)/3</f>
        <v>0</v>
      </c>
      <c r="AX24" s="35" t="s">
        <v>60</v>
      </c>
      <c r="AY24" s="4">
        <f>(AS23+AU23+AW23)/3</f>
        <v>0</v>
      </c>
      <c r="BG24" s="35" t="s">
        <v>60</v>
      </c>
      <c r="BH24" s="4">
        <f>(BB23+BD23+BF23)/3</f>
        <v>0</v>
      </c>
      <c r="BP24" s="35" t="s">
        <v>60</v>
      </c>
      <c r="BQ24" s="4">
        <f>(BK23+BM23+BO23)/3</f>
        <v>0</v>
      </c>
      <c r="BY24" s="35" t="s">
        <v>60</v>
      </c>
      <c r="BZ24" s="36">
        <f>(BT23+BV23+BX23)/3</f>
        <v>0</v>
      </c>
      <c r="CB24" s="38" t="s">
        <v>26</v>
      </c>
      <c r="CC24" s="39"/>
      <c r="CD24" s="39"/>
      <c r="CE24" s="39">
        <f>O24+X24+AG24+AP24+AY24+BH24+BQ24+BZ24</f>
        <v>0</v>
      </c>
      <c r="CF24" s="39"/>
      <c r="CG24" s="40"/>
    </row>
    <row r="25" spans="3:85" ht="15.75" thickBot="1" x14ac:dyDescent="0.3"/>
    <row r="26" spans="3:85" ht="15" customHeight="1" x14ac:dyDescent="0.25">
      <c r="C26" s="33" t="s">
        <v>30</v>
      </c>
      <c r="D26" s="33"/>
      <c r="E26" s="33"/>
      <c r="F26" s="33"/>
      <c r="H26" s="20" t="s">
        <v>21</v>
      </c>
      <c r="I26" s="21"/>
      <c r="J26" s="21"/>
      <c r="K26" s="21"/>
      <c r="L26" s="21"/>
      <c r="M26" s="21"/>
      <c r="N26" s="21"/>
      <c r="O26" s="22"/>
      <c r="Q26" s="20" t="s">
        <v>21</v>
      </c>
      <c r="R26" s="21"/>
      <c r="S26" s="21"/>
      <c r="T26" s="21"/>
      <c r="U26" s="21"/>
      <c r="V26" s="21"/>
      <c r="W26" s="21"/>
      <c r="X26" s="22"/>
      <c r="Z26" s="20" t="s">
        <v>21</v>
      </c>
      <c r="AA26" s="21"/>
      <c r="AB26" s="21"/>
      <c r="AC26" s="21"/>
      <c r="AD26" s="21"/>
      <c r="AE26" s="21"/>
      <c r="AF26" s="21"/>
      <c r="AG26" s="22"/>
      <c r="AI26" s="20" t="s">
        <v>21</v>
      </c>
      <c r="AJ26" s="21"/>
      <c r="AK26" s="21"/>
      <c r="AL26" s="21"/>
      <c r="AM26" s="21"/>
      <c r="AN26" s="21"/>
      <c r="AO26" s="21"/>
      <c r="AP26" s="22"/>
      <c r="AR26" s="20" t="s">
        <v>21</v>
      </c>
      <c r="AS26" s="21"/>
      <c r="AT26" s="21"/>
      <c r="AU26" s="21"/>
      <c r="AV26" s="21"/>
      <c r="AW26" s="21"/>
      <c r="AX26" s="21"/>
      <c r="AY26" s="22"/>
      <c r="BA26" s="20" t="s">
        <v>21</v>
      </c>
      <c r="BB26" s="21"/>
      <c r="BC26" s="21"/>
      <c r="BD26" s="21"/>
      <c r="BE26" s="21"/>
      <c r="BF26" s="21"/>
      <c r="BG26" s="21"/>
      <c r="BH26" s="22"/>
      <c r="BJ26" s="20" t="s">
        <v>21</v>
      </c>
      <c r="BK26" s="21"/>
      <c r="BL26" s="21"/>
      <c r="BM26" s="21"/>
      <c r="BN26" s="21"/>
      <c r="BO26" s="21"/>
      <c r="BP26" s="21"/>
      <c r="BQ26" s="22"/>
      <c r="BS26" s="20" t="s">
        <v>21</v>
      </c>
      <c r="BT26" s="21"/>
      <c r="BU26" s="21"/>
      <c r="BV26" s="21"/>
      <c r="BW26" s="21"/>
      <c r="BX26" s="21"/>
      <c r="BY26" s="21"/>
      <c r="BZ26" s="22"/>
      <c r="CB26" s="23" t="s">
        <v>68</v>
      </c>
      <c r="CC26" s="24"/>
      <c r="CD26" s="24"/>
      <c r="CE26" s="24"/>
      <c r="CF26" s="24"/>
      <c r="CG26" s="25"/>
    </row>
    <row r="27" spans="3:85" x14ac:dyDescent="0.25">
      <c r="C27" s="33"/>
      <c r="D27" s="33"/>
      <c r="E27" s="33"/>
      <c r="F27" s="33"/>
      <c r="H27" s="26"/>
      <c r="I27" s="12"/>
      <c r="J27" s="12"/>
      <c r="K27" s="12"/>
      <c r="L27" s="12"/>
      <c r="M27" s="12"/>
      <c r="N27" s="12"/>
      <c r="O27" s="27"/>
      <c r="Q27" s="26"/>
      <c r="R27" s="12"/>
      <c r="S27" s="12"/>
      <c r="T27" s="12"/>
      <c r="U27" s="12"/>
      <c r="V27" s="12"/>
      <c r="W27" s="12"/>
      <c r="X27" s="27"/>
      <c r="Z27" s="26"/>
      <c r="AA27" s="12"/>
      <c r="AB27" s="12"/>
      <c r="AC27" s="12"/>
      <c r="AD27" s="12"/>
      <c r="AE27" s="12"/>
      <c r="AF27" s="12"/>
      <c r="AG27" s="27"/>
      <c r="AI27" s="26"/>
      <c r="AJ27" s="12"/>
      <c r="AK27" s="12"/>
      <c r="AL27" s="12"/>
      <c r="AM27" s="12"/>
      <c r="AN27" s="12"/>
      <c r="AO27" s="12"/>
      <c r="AP27" s="27"/>
      <c r="AR27" s="26"/>
      <c r="AS27" s="12"/>
      <c r="AT27" s="12"/>
      <c r="AU27" s="12"/>
      <c r="AV27" s="12"/>
      <c r="AW27" s="12"/>
      <c r="AX27" s="12"/>
      <c r="AY27" s="27"/>
      <c r="BA27" s="26"/>
      <c r="BB27" s="12"/>
      <c r="BC27" s="12"/>
      <c r="BD27" s="12"/>
      <c r="BE27" s="12"/>
      <c r="BF27" s="12"/>
      <c r="BG27" s="12"/>
      <c r="BH27" s="27"/>
      <c r="BJ27" s="26"/>
      <c r="BK27" s="12"/>
      <c r="BL27" s="12"/>
      <c r="BM27" s="12"/>
      <c r="BN27" s="12"/>
      <c r="BO27" s="12"/>
      <c r="BP27" s="12"/>
      <c r="BQ27" s="27"/>
      <c r="BS27" s="26"/>
      <c r="BT27" s="12"/>
      <c r="BU27" s="12"/>
      <c r="BV27" s="12"/>
      <c r="BW27" s="12"/>
      <c r="BX27" s="12"/>
      <c r="BY27" s="12"/>
      <c r="BZ27" s="27"/>
      <c r="CB27" s="28" t="s">
        <v>23</v>
      </c>
      <c r="CC27" s="10">
        <f>(I28+R28+AA28+AJ28+AS28+BB28+BK28+BT28)*16</f>
        <v>0</v>
      </c>
      <c r="CD27" s="3" t="s">
        <v>24</v>
      </c>
      <c r="CE27" s="10">
        <f>(K28+T28+AC28+AL28+AU28+BD28+BM28+BV28)*16</f>
        <v>0</v>
      </c>
      <c r="CF27" s="3" t="s">
        <v>25</v>
      </c>
      <c r="CG27" s="29">
        <f>(M28+V28+AE28+AN28+AW28+BF28+BO28+BX28)*16</f>
        <v>0</v>
      </c>
    </row>
    <row r="28" spans="3:85" ht="15.75" thickBot="1" x14ac:dyDescent="0.3">
      <c r="H28" s="30" t="s">
        <v>23</v>
      </c>
      <c r="I28" s="50"/>
      <c r="J28" s="31" t="s">
        <v>24</v>
      </c>
      <c r="K28" s="50"/>
      <c r="L28" s="31" t="s">
        <v>25</v>
      </c>
      <c r="M28" s="50"/>
      <c r="N28" s="31" t="s">
        <v>59</v>
      </c>
      <c r="O28" s="51">
        <f>SUM(I28+K28+M28)*16</f>
        <v>0</v>
      </c>
      <c r="Q28" s="30" t="s">
        <v>23</v>
      </c>
      <c r="R28" s="50"/>
      <c r="S28" s="31" t="s">
        <v>24</v>
      </c>
      <c r="T28" s="50"/>
      <c r="U28" s="31" t="s">
        <v>25</v>
      </c>
      <c r="V28" s="50"/>
      <c r="W28" s="31" t="s">
        <v>59</v>
      </c>
      <c r="X28" s="51">
        <f>SUM(R28+T28+V28)*16</f>
        <v>0</v>
      </c>
      <c r="Z28" s="30" t="s">
        <v>23</v>
      </c>
      <c r="AA28" s="50"/>
      <c r="AB28" s="31" t="s">
        <v>24</v>
      </c>
      <c r="AC28" s="50"/>
      <c r="AD28" s="31" t="s">
        <v>25</v>
      </c>
      <c r="AE28" s="50"/>
      <c r="AF28" s="31" t="s">
        <v>59</v>
      </c>
      <c r="AG28" s="51">
        <f>SUM(AA28+AC28+AE28)*16</f>
        <v>0</v>
      </c>
      <c r="AI28" s="30" t="s">
        <v>23</v>
      </c>
      <c r="AJ28" s="50"/>
      <c r="AK28" s="31" t="s">
        <v>24</v>
      </c>
      <c r="AL28" s="50"/>
      <c r="AM28" s="31" t="s">
        <v>25</v>
      </c>
      <c r="AN28" s="50"/>
      <c r="AO28" s="31" t="s">
        <v>59</v>
      </c>
      <c r="AP28" s="51">
        <f>SUM(AJ28+AL28+AN28)*16</f>
        <v>0</v>
      </c>
      <c r="AR28" s="30" t="s">
        <v>23</v>
      </c>
      <c r="AS28" s="50"/>
      <c r="AT28" s="31" t="s">
        <v>24</v>
      </c>
      <c r="AU28" s="50"/>
      <c r="AV28" s="31" t="s">
        <v>25</v>
      </c>
      <c r="AW28" s="50"/>
      <c r="AX28" s="31" t="s">
        <v>59</v>
      </c>
      <c r="AY28" s="51">
        <f>SUM(AS28+AU28+AW28)*16</f>
        <v>0</v>
      </c>
      <c r="BA28" s="30" t="s">
        <v>23</v>
      </c>
      <c r="BB28" s="50"/>
      <c r="BC28" s="31" t="s">
        <v>24</v>
      </c>
      <c r="BD28" s="50"/>
      <c r="BE28" s="31" t="s">
        <v>25</v>
      </c>
      <c r="BF28" s="50"/>
      <c r="BG28" s="31" t="s">
        <v>59</v>
      </c>
      <c r="BH28" s="51">
        <f>SUM(BB28+BD28+BF28)*16</f>
        <v>0</v>
      </c>
      <c r="BJ28" s="30" t="s">
        <v>23</v>
      </c>
      <c r="BK28" s="50"/>
      <c r="BL28" s="31" t="s">
        <v>24</v>
      </c>
      <c r="BM28" s="50"/>
      <c r="BN28" s="31" t="s">
        <v>25</v>
      </c>
      <c r="BO28" s="50"/>
      <c r="BP28" s="31" t="s">
        <v>59</v>
      </c>
      <c r="BQ28" s="51">
        <f>SUM(BK28+BM28+BO28)*16</f>
        <v>0</v>
      </c>
      <c r="BS28" s="30" t="s">
        <v>23</v>
      </c>
      <c r="BT28" s="50">
        <v>0</v>
      </c>
      <c r="BU28" s="31" t="s">
        <v>24</v>
      </c>
      <c r="BV28" s="50">
        <v>0</v>
      </c>
      <c r="BW28" s="31" t="s">
        <v>25</v>
      </c>
      <c r="BX28" s="50">
        <v>0</v>
      </c>
      <c r="BY28" s="31" t="s">
        <v>59</v>
      </c>
      <c r="BZ28" s="51">
        <f>SUM(BT28+BV28+BX28)*16</f>
        <v>0</v>
      </c>
      <c r="CB28" s="32" t="s">
        <v>49</v>
      </c>
      <c r="CC28" s="33"/>
      <c r="CD28" s="33"/>
      <c r="CE28" s="33">
        <f>(CC27+CE27+CG27)</f>
        <v>0</v>
      </c>
      <c r="CF28" s="33"/>
      <c r="CG28" s="34"/>
    </row>
    <row r="29" spans="3:85" ht="15.75" thickBot="1" x14ac:dyDescent="0.3">
      <c r="N29" s="35" t="s">
        <v>60</v>
      </c>
      <c r="O29" s="4">
        <f>(I28+K28+M28)/3</f>
        <v>0</v>
      </c>
      <c r="W29" s="35" t="s">
        <v>60</v>
      </c>
      <c r="X29" s="4">
        <f>(R28+T28+V28)/3</f>
        <v>0</v>
      </c>
      <c r="AF29" s="35" t="s">
        <v>60</v>
      </c>
      <c r="AG29" s="4">
        <f>(AA28+AC28+AE28)/3</f>
        <v>0</v>
      </c>
      <c r="AO29" s="35" t="s">
        <v>60</v>
      </c>
      <c r="AP29" s="4">
        <f>(AJ28+AL28+AN28)/3</f>
        <v>0</v>
      </c>
      <c r="AX29" s="35" t="s">
        <v>60</v>
      </c>
      <c r="AY29" s="4">
        <f>(AS28+AU28+AW28)/3</f>
        <v>0</v>
      </c>
      <c r="BG29" s="35" t="s">
        <v>60</v>
      </c>
      <c r="BH29" s="4">
        <f>(BB28+BD28+BF28)/3</f>
        <v>0</v>
      </c>
      <c r="BP29" s="35" t="s">
        <v>60</v>
      </c>
      <c r="BQ29" s="4">
        <f>(BK28+BM28+BO28)/3</f>
        <v>0</v>
      </c>
      <c r="BY29" s="35" t="s">
        <v>60</v>
      </c>
      <c r="BZ29" s="36">
        <f>(BT28+BV28+BX28)/3</f>
        <v>0</v>
      </c>
      <c r="CB29" s="38" t="s">
        <v>26</v>
      </c>
      <c r="CC29" s="39"/>
      <c r="CD29" s="39"/>
      <c r="CE29" s="39">
        <f>O29+X29+AG29+AP29+AY29+BH29+BQ29+BZ29</f>
        <v>0</v>
      </c>
      <c r="CF29" s="39"/>
      <c r="CG29" s="40"/>
    </row>
    <row r="30" spans="3:85" ht="15.75" thickBot="1" x14ac:dyDescent="0.3"/>
    <row r="31" spans="3:85" ht="15" customHeight="1" x14ac:dyDescent="0.25">
      <c r="C31" s="33" t="s">
        <v>31</v>
      </c>
      <c r="D31" s="33"/>
      <c r="E31" s="33"/>
      <c r="F31" s="33"/>
      <c r="H31" s="20" t="s">
        <v>21</v>
      </c>
      <c r="I31" s="21"/>
      <c r="J31" s="21"/>
      <c r="K31" s="21"/>
      <c r="L31" s="21"/>
      <c r="M31" s="21"/>
      <c r="N31" s="21"/>
      <c r="O31" s="22"/>
      <c r="Q31" s="20" t="s">
        <v>21</v>
      </c>
      <c r="R31" s="21"/>
      <c r="S31" s="21"/>
      <c r="T31" s="21"/>
      <c r="U31" s="21"/>
      <c r="V31" s="21"/>
      <c r="W31" s="21"/>
      <c r="X31" s="22"/>
      <c r="Z31" s="20" t="s">
        <v>21</v>
      </c>
      <c r="AA31" s="21"/>
      <c r="AB31" s="21"/>
      <c r="AC31" s="21"/>
      <c r="AD31" s="21"/>
      <c r="AE31" s="21"/>
      <c r="AF31" s="21"/>
      <c r="AG31" s="22"/>
      <c r="AI31" s="20" t="s">
        <v>21</v>
      </c>
      <c r="AJ31" s="21"/>
      <c r="AK31" s="21"/>
      <c r="AL31" s="21"/>
      <c r="AM31" s="21"/>
      <c r="AN31" s="21"/>
      <c r="AO31" s="21"/>
      <c r="AP31" s="22"/>
      <c r="AR31" s="20" t="s">
        <v>21</v>
      </c>
      <c r="AS31" s="21"/>
      <c r="AT31" s="21"/>
      <c r="AU31" s="21"/>
      <c r="AV31" s="21"/>
      <c r="AW31" s="21"/>
      <c r="AX31" s="21"/>
      <c r="AY31" s="22"/>
      <c r="BA31" s="20" t="s">
        <v>21</v>
      </c>
      <c r="BB31" s="21"/>
      <c r="BC31" s="21"/>
      <c r="BD31" s="21"/>
      <c r="BE31" s="21"/>
      <c r="BF31" s="21"/>
      <c r="BG31" s="21"/>
      <c r="BH31" s="22"/>
      <c r="BJ31" s="20" t="s">
        <v>21</v>
      </c>
      <c r="BK31" s="21"/>
      <c r="BL31" s="21"/>
      <c r="BM31" s="21"/>
      <c r="BN31" s="21"/>
      <c r="BO31" s="21"/>
      <c r="BP31" s="21"/>
      <c r="BQ31" s="22"/>
      <c r="BS31" s="71" t="s">
        <v>61</v>
      </c>
      <c r="BT31" s="72"/>
      <c r="BU31" s="72"/>
      <c r="BV31" s="72"/>
      <c r="BW31" s="72"/>
      <c r="BX31" s="72"/>
      <c r="BY31" s="72"/>
      <c r="BZ31" s="73"/>
      <c r="CB31" s="23" t="s">
        <v>69</v>
      </c>
      <c r="CC31" s="24"/>
      <c r="CD31" s="24"/>
      <c r="CE31" s="24"/>
      <c r="CF31" s="24"/>
      <c r="CG31" s="25"/>
    </row>
    <row r="32" spans="3:85" x14ac:dyDescent="0.25">
      <c r="C32" s="33"/>
      <c r="D32" s="33"/>
      <c r="E32" s="33"/>
      <c r="F32" s="33"/>
      <c r="H32" s="26"/>
      <c r="I32" s="12"/>
      <c r="J32" s="12"/>
      <c r="K32" s="12"/>
      <c r="L32" s="12"/>
      <c r="M32" s="12"/>
      <c r="N32" s="12"/>
      <c r="O32" s="27"/>
      <c r="Q32" s="26"/>
      <c r="R32" s="12"/>
      <c r="S32" s="12"/>
      <c r="T32" s="12"/>
      <c r="U32" s="12"/>
      <c r="V32" s="12"/>
      <c r="W32" s="12"/>
      <c r="X32" s="27"/>
      <c r="Z32" s="26"/>
      <c r="AA32" s="12"/>
      <c r="AB32" s="12"/>
      <c r="AC32" s="12"/>
      <c r="AD32" s="12"/>
      <c r="AE32" s="12"/>
      <c r="AF32" s="12"/>
      <c r="AG32" s="27"/>
      <c r="AI32" s="26"/>
      <c r="AJ32" s="12"/>
      <c r="AK32" s="12"/>
      <c r="AL32" s="12"/>
      <c r="AM32" s="12"/>
      <c r="AN32" s="12"/>
      <c r="AO32" s="12"/>
      <c r="AP32" s="27"/>
      <c r="AR32" s="26"/>
      <c r="AS32" s="12"/>
      <c r="AT32" s="12"/>
      <c r="AU32" s="12"/>
      <c r="AV32" s="12"/>
      <c r="AW32" s="12"/>
      <c r="AX32" s="12"/>
      <c r="AY32" s="27"/>
      <c r="BA32" s="26"/>
      <c r="BB32" s="12"/>
      <c r="BC32" s="12"/>
      <c r="BD32" s="12"/>
      <c r="BE32" s="12"/>
      <c r="BF32" s="12"/>
      <c r="BG32" s="12"/>
      <c r="BH32" s="27"/>
      <c r="BJ32" s="26"/>
      <c r="BK32" s="12"/>
      <c r="BL32" s="12"/>
      <c r="BM32" s="12"/>
      <c r="BN32" s="12"/>
      <c r="BO32" s="12"/>
      <c r="BP32" s="12"/>
      <c r="BQ32" s="27"/>
      <c r="BS32" s="74"/>
      <c r="BT32" s="75"/>
      <c r="BU32" s="75"/>
      <c r="BV32" s="75"/>
      <c r="BW32" s="75"/>
      <c r="BX32" s="75"/>
      <c r="BY32" s="75"/>
      <c r="BZ32" s="76"/>
      <c r="CB32" s="28" t="s">
        <v>23</v>
      </c>
      <c r="CC32" s="10">
        <f>(I33+R33+AA33+AJ33+AS33+BB33+BK33+BT33)*16</f>
        <v>0</v>
      </c>
      <c r="CD32" s="3" t="s">
        <v>24</v>
      </c>
      <c r="CE32" s="10">
        <f>(K33+T33+AC33+AL33+AU33+BD33+BM33+BV33)*16</f>
        <v>0</v>
      </c>
      <c r="CF32" s="3" t="s">
        <v>25</v>
      </c>
      <c r="CG32" s="29">
        <f>(M33+V33+AE33+AN33+AW33+BF33+BO33+BX33)*16</f>
        <v>0</v>
      </c>
    </row>
    <row r="33" spans="3:119" ht="15.75" thickBot="1" x14ac:dyDescent="0.3">
      <c r="H33" s="30" t="s">
        <v>23</v>
      </c>
      <c r="I33" s="50"/>
      <c r="J33" s="31" t="s">
        <v>24</v>
      </c>
      <c r="K33" s="50"/>
      <c r="L33" s="31" t="s">
        <v>25</v>
      </c>
      <c r="M33" s="50"/>
      <c r="N33" s="31" t="s">
        <v>59</v>
      </c>
      <c r="O33" s="51">
        <f>SUM(I33+K33+M33)*16</f>
        <v>0</v>
      </c>
      <c r="Q33" s="30" t="s">
        <v>23</v>
      </c>
      <c r="R33" s="50"/>
      <c r="S33" s="31" t="s">
        <v>24</v>
      </c>
      <c r="T33" s="50"/>
      <c r="U33" s="31" t="s">
        <v>25</v>
      </c>
      <c r="V33" s="50"/>
      <c r="W33" s="31" t="s">
        <v>59</v>
      </c>
      <c r="X33" s="51">
        <f>SUM(R33+T33+V33)*16</f>
        <v>0</v>
      </c>
      <c r="Z33" s="30" t="s">
        <v>23</v>
      </c>
      <c r="AA33" s="50"/>
      <c r="AB33" s="31" t="s">
        <v>24</v>
      </c>
      <c r="AC33" s="50"/>
      <c r="AD33" s="31" t="s">
        <v>25</v>
      </c>
      <c r="AE33" s="50"/>
      <c r="AF33" s="31" t="s">
        <v>59</v>
      </c>
      <c r="AG33" s="51">
        <f>SUM(AA33+AC33+AE33)*16</f>
        <v>0</v>
      </c>
      <c r="AI33" s="30" t="s">
        <v>23</v>
      </c>
      <c r="AJ33" s="50"/>
      <c r="AK33" s="31" t="s">
        <v>24</v>
      </c>
      <c r="AL33" s="50"/>
      <c r="AM33" s="31" t="s">
        <v>25</v>
      </c>
      <c r="AN33" s="50"/>
      <c r="AO33" s="31" t="s">
        <v>59</v>
      </c>
      <c r="AP33" s="51">
        <f>SUM(AJ33+AL33+AN33)*16</f>
        <v>0</v>
      </c>
      <c r="AR33" s="30" t="s">
        <v>23</v>
      </c>
      <c r="AS33" s="50"/>
      <c r="AT33" s="31" t="s">
        <v>24</v>
      </c>
      <c r="AU33" s="50"/>
      <c r="AV33" s="31" t="s">
        <v>25</v>
      </c>
      <c r="AW33" s="50"/>
      <c r="AX33" s="31" t="s">
        <v>59</v>
      </c>
      <c r="AY33" s="51">
        <f>SUM(AS33+AU33+AW33)*16</f>
        <v>0</v>
      </c>
      <c r="BA33" s="30" t="s">
        <v>23</v>
      </c>
      <c r="BB33" s="50"/>
      <c r="BC33" s="31" t="s">
        <v>24</v>
      </c>
      <c r="BD33" s="50"/>
      <c r="BE33" s="31" t="s">
        <v>25</v>
      </c>
      <c r="BF33" s="50"/>
      <c r="BG33" s="31" t="s">
        <v>59</v>
      </c>
      <c r="BH33" s="51">
        <f>SUM(BB33+BD33+BF33)*16</f>
        <v>0</v>
      </c>
      <c r="BJ33" s="30" t="s">
        <v>23</v>
      </c>
      <c r="BK33" s="50"/>
      <c r="BL33" s="31" t="s">
        <v>24</v>
      </c>
      <c r="BM33" s="50"/>
      <c r="BN33" s="31" t="s">
        <v>25</v>
      </c>
      <c r="BO33" s="50"/>
      <c r="BP33" s="31" t="s">
        <v>59</v>
      </c>
      <c r="BQ33" s="51">
        <f>SUM(BK33+BM33+BO33)*16</f>
        <v>0</v>
      </c>
      <c r="BS33" s="77">
        <v>96</v>
      </c>
      <c r="BT33" s="78"/>
      <c r="BU33" s="78"/>
      <c r="BV33" s="78"/>
      <c r="BW33" s="78"/>
      <c r="BX33" s="78"/>
      <c r="BY33" s="78"/>
      <c r="BZ33" s="79"/>
      <c r="CB33" s="32" t="s">
        <v>49</v>
      </c>
      <c r="CC33" s="33"/>
      <c r="CD33" s="33"/>
      <c r="CE33" s="33">
        <f>(CC32+CE32+CG32)</f>
        <v>0</v>
      </c>
      <c r="CF33" s="33"/>
      <c r="CG33" s="34"/>
    </row>
    <row r="34" spans="3:119" ht="15.75" thickBot="1" x14ac:dyDescent="0.3">
      <c r="N34" s="35" t="s">
        <v>60</v>
      </c>
      <c r="O34" s="4">
        <f>(I33+K33+M33)/3</f>
        <v>0</v>
      </c>
      <c r="W34" s="35" t="s">
        <v>60</v>
      </c>
      <c r="X34" s="4">
        <f>(R33+T33+V33)/3</f>
        <v>0</v>
      </c>
      <c r="AF34" s="35" t="s">
        <v>60</v>
      </c>
      <c r="AG34" s="4">
        <f>(AA33+AC33+AE33)/3</f>
        <v>0</v>
      </c>
      <c r="AO34" s="35" t="s">
        <v>60</v>
      </c>
      <c r="AP34" s="4">
        <f>(AJ33+AL33+AN33)/3</f>
        <v>0</v>
      </c>
      <c r="AX34" s="35" t="s">
        <v>60</v>
      </c>
      <c r="AY34" s="4">
        <f>(AS33+AU33+AW33)/3</f>
        <v>0</v>
      </c>
      <c r="BG34" s="35" t="s">
        <v>60</v>
      </c>
      <c r="BH34" s="4">
        <f>(BB33+BD33+BF33)/3</f>
        <v>0</v>
      </c>
      <c r="BP34" s="35" t="s">
        <v>60</v>
      </c>
      <c r="BQ34" s="4">
        <f>(BK33+BM33+BO33)/3</f>
        <v>0</v>
      </c>
      <c r="BY34" s="35" t="s">
        <v>60</v>
      </c>
      <c r="BZ34" s="4">
        <f>BS33/16/3</f>
        <v>2</v>
      </c>
      <c r="CB34" s="38" t="s">
        <v>26</v>
      </c>
      <c r="CC34" s="39"/>
      <c r="CD34" s="39"/>
      <c r="CE34" s="39">
        <f>O34+X34+AG34+AP34+AY34+BH34+BQ34+BZ34</f>
        <v>2</v>
      </c>
      <c r="CF34" s="39"/>
      <c r="CG34" s="40"/>
    </row>
    <row r="35" spans="3:119" ht="15.75" thickBot="1" x14ac:dyDescent="0.3"/>
    <row r="36" spans="3:119" ht="15" customHeight="1" x14ac:dyDescent="0.25">
      <c r="C36" s="33" t="s">
        <v>32</v>
      </c>
      <c r="D36" s="33"/>
      <c r="E36" s="33"/>
      <c r="F36" s="33"/>
      <c r="H36" s="20" t="s">
        <v>21</v>
      </c>
      <c r="I36" s="21"/>
      <c r="J36" s="21"/>
      <c r="K36" s="21"/>
      <c r="L36" s="21"/>
      <c r="M36" s="21"/>
      <c r="N36" s="21"/>
      <c r="O36" s="22"/>
      <c r="Q36" s="20" t="s">
        <v>21</v>
      </c>
      <c r="R36" s="21"/>
      <c r="S36" s="21"/>
      <c r="T36" s="21"/>
      <c r="U36" s="21"/>
      <c r="V36" s="21"/>
      <c r="W36" s="21"/>
      <c r="X36" s="22"/>
      <c r="Z36" s="20" t="s">
        <v>21</v>
      </c>
      <c r="AA36" s="21"/>
      <c r="AB36" s="21"/>
      <c r="AC36" s="21"/>
      <c r="AD36" s="21"/>
      <c r="AE36" s="21"/>
      <c r="AF36" s="21"/>
      <c r="AG36" s="22"/>
      <c r="AI36" s="20" t="s">
        <v>21</v>
      </c>
      <c r="AJ36" s="21"/>
      <c r="AK36" s="21"/>
      <c r="AL36" s="21"/>
      <c r="AM36" s="21"/>
      <c r="AN36" s="21"/>
      <c r="AO36" s="21"/>
      <c r="AP36" s="22"/>
      <c r="AR36" s="20" t="s">
        <v>21</v>
      </c>
      <c r="AS36" s="21"/>
      <c r="AT36" s="21"/>
      <c r="AU36" s="21"/>
      <c r="AV36" s="21"/>
      <c r="AW36" s="21"/>
      <c r="AX36" s="21"/>
      <c r="AY36" s="22"/>
      <c r="BA36" s="20" t="s">
        <v>21</v>
      </c>
      <c r="BB36" s="21"/>
      <c r="BC36" s="21"/>
      <c r="BD36" s="21"/>
      <c r="BE36" s="21"/>
      <c r="BF36" s="21"/>
      <c r="BG36" s="21"/>
      <c r="BH36" s="22"/>
      <c r="BJ36" s="20" t="s">
        <v>21</v>
      </c>
      <c r="BK36" s="21"/>
      <c r="BL36" s="21"/>
      <c r="BM36" s="21"/>
      <c r="BN36" s="21"/>
      <c r="BO36" s="21"/>
      <c r="BP36" s="21"/>
      <c r="BQ36" s="22"/>
      <c r="BS36" s="80" t="s">
        <v>62</v>
      </c>
      <c r="BT36" s="81"/>
      <c r="BU36" s="81"/>
      <c r="BV36" s="81"/>
      <c r="BW36" s="81"/>
      <c r="BX36" s="81"/>
      <c r="BY36" s="81"/>
      <c r="BZ36" s="82"/>
      <c r="CB36" s="23" t="s">
        <v>70</v>
      </c>
      <c r="CC36" s="24"/>
      <c r="CD36" s="24"/>
      <c r="CE36" s="24"/>
      <c r="CF36" s="24"/>
      <c r="CG36" s="25"/>
    </row>
    <row r="37" spans="3:119" x14ac:dyDescent="0.25">
      <c r="C37" s="33"/>
      <c r="D37" s="33"/>
      <c r="E37" s="33"/>
      <c r="F37" s="33"/>
      <c r="H37" s="26"/>
      <c r="I37" s="12"/>
      <c r="J37" s="12"/>
      <c r="K37" s="12"/>
      <c r="L37" s="12"/>
      <c r="M37" s="12"/>
      <c r="N37" s="12"/>
      <c r="O37" s="27"/>
      <c r="Q37" s="26"/>
      <c r="R37" s="12"/>
      <c r="S37" s="12"/>
      <c r="T37" s="12"/>
      <c r="U37" s="12"/>
      <c r="V37" s="12"/>
      <c r="W37" s="12"/>
      <c r="X37" s="27"/>
      <c r="Z37" s="26"/>
      <c r="AA37" s="12"/>
      <c r="AB37" s="12"/>
      <c r="AC37" s="12"/>
      <c r="AD37" s="12"/>
      <c r="AE37" s="12"/>
      <c r="AF37" s="12"/>
      <c r="AG37" s="27"/>
      <c r="AI37" s="26"/>
      <c r="AJ37" s="12"/>
      <c r="AK37" s="12"/>
      <c r="AL37" s="12"/>
      <c r="AM37" s="12"/>
      <c r="AN37" s="12"/>
      <c r="AO37" s="12"/>
      <c r="AP37" s="27"/>
      <c r="AR37" s="26"/>
      <c r="AS37" s="12"/>
      <c r="AT37" s="12"/>
      <c r="AU37" s="12"/>
      <c r="AV37" s="12"/>
      <c r="AW37" s="12"/>
      <c r="AX37" s="12"/>
      <c r="AY37" s="27"/>
      <c r="BA37" s="26"/>
      <c r="BB37" s="12"/>
      <c r="BC37" s="12"/>
      <c r="BD37" s="12"/>
      <c r="BE37" s="12"/>
      <c r="BF37" s="12"/>
      <c r="BG37" s="12"/>
      <c r="BH37" s="27"/>
      <c r="BJ37" s="26"/>
      <c r="BK37" s="12"/>
      <c r="BL37" s="12"/>
      <c r="BM37" s="12"/>
      <c r="BN37" s="12"/>
      <c r="BO37" s="12"/>
      <c r="BP37" s="12"/>
      <c r="BQ37" s="27"/>
      <c r="BS37" s="83"/>
      <c r="BT37" s="84"/>
      <c r="BU37" s="84"/>
      <c r="BV37" s="84"/>
      <c r="BW37" s="84"/>
      <c r="BX37" s="84"/>
      <c r="BY37" s="84"/>
      <c r="BZ37" s="85"/>
      <c r="CB37" s="28" t="s">
        <v>23</v>
      </c>
      <c r="CC37" s="10">
        <f>(I38+R38+AA38+AJ38+AS38+BB38+BK38+BT38)*16</f>
        <v>0</v>
      </c>
      <c r="CD37" s="3" t="s">
        <v>24</v>
      </c>
      <c r="CE37" s="10">
        <f>(K38+T38+AC38+AL38+AU38+BD38+BM38+BV38)*16</f>
        <v>0</v>
      </c>
      <c r="CF37" s="3" t="s">
        <v>25</v>
      </c>
      <c r="CG37" s="29">
        <f>(M38+V38+AE38+AN38+AW38+BF38+BO38+BX38)*16</f>
        <v>0</v>
      </c>
    </row>
    <row r="38" spans="3:119" ht="15.75" thickBot="1" x14ac:dyDescent="0.3">
      <c r="H38" s="30" t="s">
        <v>23</v>
      </c>
      <c r="I38" s="50"/>
      <c r="J38" s="31" t="s">
        <v>24</v>
      </c>
      <c r="K38" s="50"/>
      <c r="L38" s="31" t="s">
        <v>25</v>
      </c>
      <c r="M38" s="50"/>
      <c r="N38" s="31" t="s">
        <v>59</v>
      </c>
      <c r="O38" s="51">
        <f>SUM(I38+K38+M38)*16</f>
        <v>0</v>
      </c>
      <c r="Q38" s="30" t="s">
        <v>23</v>
      </c>
      <c r="R38" s="50"/>
      <c r="S38" s="31" t="s">
        <v>24</v>
      </c>
      <c r="T38" s="50"/>
      <c r="U38" s="31" t="s">
        <v>25</v>
      </c>
      <c r="V38" s="50"/>
      <c r="W38" s="31" t="s">
        <v>59</v>
      </c>
      <c r="X38" s="51">
        <f>SUM(R38+T38+V38)*16</f>
        <v>0</v>
      </c>
      <c r="Z38" s="30" t="s">
        <v>23</v>
      </c>
      <c r="AA38" s="50"/>
      <c r="AB38" s="31" t="s">
        <v>24</v>
      </c>
      <c r="AC38" s="50"/>
      <c r="AD38" s="31" t="s">
        <v>25</v>
      </c>
      <c r="AE38" s="50"/>
      <c r="AF38" s="31" t="s">
        <v>59</v>
      </c>
      <c r="AG38" s="51">
        <f>SUM(AA38+AC38+AE38)*16</f>
        <v>0</v>
      </c>
      <c r="AI38" s="30" t="s">
        <v>23</v>
      </c>
      <c r="AJ38" s="50"/>
      <c r="AK38" s="31" t="s">
        <v>24</v>
      </c>
      <c r="AL38" s="50"/>
      <c r="AM38" s="31" t="s">
        <v>25</v>
      </c>
      <c r="AN38" s="50"/>
      <c r="AO38" s="31" t="s">
        <v>59</v>
      </c>
      <c r="AP38" s="51">
        <f>SUM(AJ38+AL38+AN38)*16</f>
        <v>0</v>
      </c>
      <c r="AR38" s="30" t="s">
        <v>23</v>
      </c>
      <c r="AS38" s="50"/>
      <c r="AT38" s="31" t="s">
        <v>24</v>
      </c>
      <c r="AU38" s="50"/>
      <c r="AV38" s="31" t="s">
        <v>25</v>
      </c>
      <c r="AW38" s="50"/>
      <c r="AX38" s="31" t="s">
        <v>59</v>
      </c>
      <c r="AY38" s="51">
        <f>SUM(AS38+AU38+AW38)*16</f>
        <v>0</v>
      </c>
      <c r="BA38" s="30" t="s">
        <v>23</v>
      </c>
      <c r="BB38" s="50"/>
      <c r="BC38" s="31" t="s">
        <v>24</v>
      </c>
      <c r="BD38" s="50"/>
      <c r="BE38" s="31" t="s">
        <v>25</v>
      </c>
      <c r="BF38" s="50"/>
      <c r="BG38" s="31" t="s">
        <v>59</v>
      </c>
      <c r="BH38" s="51">
        <f>SUM(BB38+BD38+BF38)*16</f>
        <v>0</v>
      </c>
      <c r="BJ38" s="30" t="s">
        <v>23</v>
      </c>
      <c r="BK38" s="50"/>
      <c r="BL38" s="31" t="s">
        <v>24</v>
      </c>
      <c r="BM38" s="50"/>
      <c r="BN38" s="31" t="s">
        <v>25</v>
      </c>
      <c r="BO38" s="50"/>
      <c r="BP38" s="31" t="s">
        <v>59</v>
      </c>
      <c r="BQ38" s="51">
        <f>SUM(BK38+BM38+BO38)*16</f>
        <v>0</v>
      </c>
      <c r="BS38" s="77">
        <v>240</v>
      </c>
      <c r="BT38" s="78"/>
      <c r="BU38" s="78"/>
      <c r="BV38" s="78"/>
      <c r="BW38" s="78"/>
      <c r="BX38" s="78"/>
      <c r="BY38" s="78"/>
      <c r="BZ38" s="79"/>
      <c r="CB38" s="32" t="s">
        <v>49</v>
      </c>
      <c r="CC38" s="33"/>
      <c r="CD38" s="33"/>
      <c r="CE38" s="33">
        <f>(CC37+CE37+CG37)</f>
        <v>0</v>
      </c>
      <c r="CF38" s="33"/>
      <c r="CG38" s="34"/>
    </row>
    <row r="39" spans="3:119" ht="15.75" thickBot="1" x14ac:dyDescent="0.3">
      <c r="N39" s="35" t="s">
        <v>60</v>
      </c>
      <c r="O39" s="4">
        <f>(I38+K38+M38)/3</f>
        <v>0</v>
      </c>
      <c r="W39" s="35" t="s">
        <v>60</v>
      </c>
      <c r="X39" s="4">
        <f>(R38+T38+V38)/3</f>
        <v>0</v>
      </c>
      <c r="AF39" s="35" t="s">
        <v>60</v>
      </c>
      <c r="AG39" s="4">
        <f>(AA38+AC38+AE38)/3</f>
        <v>0</v>
      </c>
      <c r="AO39" s="35" t="s">
        <v>60</v>
      </c>
      <c r="AP39" s="4">
        <f>(AJ38+AL38+AN38)/3</f>
        <v>0</v>
      </c>
      <c r="AX39" s="35" t="s">
        <v>60</v>
      </c>
      <c r="AY39" s="4">
        <f>(AS38+AU38+AW38)/3</f>
        <v>0</v>
      </c>
      <c r="BG39" s="35" t="s">
        <v>60</v>
      </c>
      <c r="BH39" s="4">
        <f>(BB38+BD38+BF38)/3</f>
        <v>0</v>
      </c>
      <c r="BP39" s="35" t="s">
        <v>60</v>
      </c>
      <c r="BQ39" s="4">
        <f>(BK38+BM38+BO38)/3</f>
        <v>0</v>
      </c>
      <c r="BY39" s="35" t="s">
        <v>60</v>
      </c>
      <c r="BZ39" s="4">
        <f>BS38/16/3</f>
        <v>5</v>
      </c>
      <c r="CB39" s="38" t="s">
        <v>26</v>
      </c>
      <c r="CC39" s="39"/>
      <c r="CD39" s="39"/>
      <c r="CE39" s="39">
        <f>O39+X39+AG39+AP39+AY39+BH39+BQ39+BZ39</f>
        <v>5</v>
      </c>
      <c r="CF39" s="39"/>
      <c r="CG39" s="40"/>
    </row>
    <row r="40" spans="3:119" ht="15.75" thickBot="1" x14ac:dyDescent="0.3"/>
    <row r="41" spans="3:119" ht="15" customHeight="1" x14ac:dyDescent="0.25">
      <c r="C41" s="33" t="s">
        <v>33</v>
      </c>
      <c r="D41" s="33"/>
      <c r="E41" s="33"/>
      <c r="F41" s="33"/>
      <c r="H41" s="20" t="s">
        <v>21</v>
      </c>
      <c r="I41" s="21"/>
      <c r="J41" s="21"/>
      <c r="K41" s="21"/>
      <c r="L41" s="21"/>
      <c r="M41" s="21"/>
      <c r="N41" s="21"/>
      <c r="O41" s="22"/>
      <c r="Q41" s="20" t="s">
        <v>21</v>
      </c>
      <c r="R41" s="21"/>
      <c r="S41" s="21"/>
      <c r="T41" s="21"/>
      <c r="U41" s="21"/>
      <c r="V41" s="21"/>
      <c r="W41" s="21"/>
      <c r="X41" s="22"/>
      <c r="Z41" s="20" t="s">
        <v>21</v>
      </c>
      <c r="AA41" s="21"/>
      <c r="AB41" s="21"/>
      <c r="AC41" s="21"/>
      <c r="AD41" s="21"/>
      <c r="AE41" s="21"/>
      <c r="AF41" s="21"/>
      <c r="AG41" s="22"/>
      <c r="AI41" s="20" t="s">
        <v>21</v>
      </c>
      <c r="AJ41" s="21"/>
      <c r="AK41" s="21"/>
      <c r="AL41" s="21"/>
      <c r="AM41" s="21"/>
      <c r="AN41" s="21"/>
      <c r="AO41" s="21"/>
      <c r="AP41" s="22"/>
      <c r="AR41" s="20" t="s">
        <v>21</v>
      </c>
      <c r="AS41" s="21"/>
      <c r="AT41" s="21"/>
      <c r="AU41" s="21"/>
      <c r="AV41" s="21"/>
      <c r="AW41" s="21"/>
      <c r="AX41" s="21"/>
      <c r="AY41" s="22"/>
      <c r="BA41" s="53" t="s">
        <v>64</v>
      </c>
      <c r="BB41" s="54"/>
      <c r="BC41" s="54"/>
      <c r="BD41" s="54"/>
      <c r="BE41" s="54"/>
      <c r="BF41" s="54"/>
      <c r="BG41" s="54"/>
      <c r="BH41" s="55"/>
      <c r="BJ41" s="62" t="s">
        <v>63</v>
      </c>
      <c r="BK41" s="63"/>
      <c r="BL41" s="63"/>
      <c r="BM41" s="63"/>
      <c r="BN41" s="63"/>
      <c r="BO41" s="63"/>
      <c r="BP41" s="63"/>
      <c r="BQ41" s="64"/>
      <c r="BS41" s="86" t="s">
        <v>48</v>
      </c>
      <c r="BT41" s="87"/>
      <c r="BU41" s="87"/>
      <c r="BV41" s="87"/>
      <c r="BW41" s="87"/>
      <c r="BX41" s="87"/>
      <c r="BY41" s="87"/>
      <c r="BZ41" s="88"/>
      <c r="CB41" s="23" t="s">
        <v>71</v>
      </c>
      <c r="CC41" s="24"/>
      <c r="CD41" s="24"/>
      <c r="CE41" s="24"/>
      <c r="CF41" s="24"/>
      <c r="CG41" s="25"/>
    </row>
    <row r="42" spans="3:119" x14ac:dyDescent="0.25">
      <c r="C42" s="33"/>
      <c r="D42" s="33"/>
      <c r="E42" s="33"/>
      <c r="F42" s="33"/>
      <c r="H42" s="26"/>
      <c r="I42" s="12"/>
      <c r="J42" s="12"/>
      <c r="K42" s="12"/>
      <c r="L42" s="12"/>
      <c r="M42" s="12"/>
      <c r="N42" s="12"/>
      <c r="O42" s="27"/>
      <c r="Q42" s="26"/>
      <c r="R42" s="12"/>
      <c r="S42" s="12"/>
      <c r="T42" s="12"/>
      <c r="U42" s="12"/>
      <c r="V42" s="12"/>
      <c r="W42" s="12"/>
      <c r="X42" s="27"/>
      <c r="Z42" s="26"/>
      <c r="AA42" s="12"/>
      <c r="AB42" s="12"/>
      <c r="AC42" s="12"/>
      <c r="AD42" s="12"/>
      <c r="AE42" s="12"/>
      <c r="AF42" s="12"/>
      <c r="AG42" s="27"/>
      <c r="AI42" s="26"/>
      <c r="AJ42" s="12"/>
      <c r="AK42" s="12"/>
      <c r="AL42" s="12"/>
      <c r="AM42" s="12"/>
      <c r="AN42" s="12"/>
      <c r="AO42" s="12"/>
      <c r="AP42" s="27"/>
      <c r="AR42" s="26"/>
      <c r="AS42" s="12"/>
      <c r="AT42" s="12"/>
      <c r="AU42" s="12"/>
      <c r="AV42" s="12"/>
      <c r="AW42" s="12"/>
      <c r="AX42" s="12"/>
      <c r="AY42" s="27"/>
      <c r="BA42" s="56"/>
      <c r="BB42" s="52"/>
      <c r="BC42" s="52"/>
      <c r="BD42" s="52"/>
      <c r="BE42" s="52"/>
      <c r="BF42" s="52"/>
      <c r="BG42" s="52"/>
      <c r="BH42" s="57"/>
      <c r="BJ42" s="65"/>
      <c r="BK42" s="61"/>
      <c r="BL42" s="61"/>
      <c r="BM42" s="61"/>
      <c r="BN42" s="61"/>
      <c r="BO42" s="61"/>
      <c r="BP42" s="61"/>
      <c r="BQ42" s="66"/>
      <c r="BS42" s="89"/>
      <c r="BT42" s="90"/>
      <c r="BU42" s="90"/>
      <c r="BV42" s="90"/>
      <c r="BW42" s="90"/>
      <c r="BX42" s="90"/>
      <c r="BY42" s="90"/>
      <c r="BZ42" s="91"/>
      <c r="CB42" s="28" t="s">
        <v>23</v>
      </c>
      <c r="CC42" s="10">
        <f>(I43+R43+AA43+AJ43+AS43+BB43+BK43+BT43)*16</f>
        <v>96</v>
      </c>
      <c r="CD42" s="3" t="s">
        <v>24</v>
      </c>
      <c r="CE42" s="10">
        <f>(K43+T43+AC43+AL43+AU43+BD43+BM43+BV43)*16</f>
        <v>0</v>
      </c>
      <c r="CF42" s="3" t="s">
        <v>25</v>
      </c>
      <c r="CG42" s="29">
        <f>(M43+V43+AE43+AN43+AW43+BF43+BO43+BX43)*16</f>
        <v>144</v>
      </c>
    </row>
    <row r="43" spans="3:119" ht="15.75" thickBot="1" x14ac:dyDescent="0.3">
      <c r="H43" s="30" t="s">
        <v>23</v>
      </c>
      <c r="I43" s="50"/>
      <c r="J43" s="31" t="s">
        <v>24</v>
      </c>
      <c r="K43" s="50"/>
      <c r="L43" s="31" t="s">
        <v>25</v>
      </c>
      <c r="M43" s="50"/>
      <c r="N43" s="31" t="s">
        <v>59</v>
      </c>
      <c r="O43" s="51">
        <f>SUM(I43+K43+M43)*16</f>
        <v>0</v>
      </c>
      <c r="Q43" s="30" t="s">
        <v>23</v>
      </c>
      <c r="R43" s="50"/>
      <c r="S43" s="31" t="s">
        <v>24</v>
      </c>
      <c r="T43" s="50"/>
      <c r="U43" s="31" t="s">
        <v>25</v>
      </c>
      <c r="V43" s="50"/>
      <c r="W43" s="31" t="s">
        <v>59</v>
      </c>
      <c r="X43" s="51">
        <f>SUM(R43+T43+V43)*16</f>
        <v>0</v>
      </c>
      <c r="Z43" s="30" t="s">
        <v>23</v>
      </c>
      <c r="AA43" s="50"/>
      <c r="AB43" s="31" t="s">
        <v>24</v>
      </c>
      <c r="AC43" s="50"/>
      <c r="AD43" s="31" t="s">
        <v>25</v>
      </c>
      <c r="AE43" s="50"/>
      <c r="AF43" s="31" t="s">
        <v>59</v>
      </c>
      <c r="AG43" s="51">
        <f>SUM(AA43+AC43+AE43)*16</f>
        <v>0</v>
      </c>
      <c r="AI43" s="30" t="s">
        <v>23</v>
      </c>
      <c r="AJ43" s="50"/>
      <c r="AK43" s="31" t="s">
        <v>24</v>
      </c>
      <c r="AL43" s="50"/>
      <c r="AM43" s="31" t="s">
        <v>25</v>
      </c>
      <c r="AN43" s="50"/>
      <c r="AO43" s="31" t="s">
        <v>59</v>
      </c>
      <c r="AP43" s="51">
        <f>SUM(AJ43+AL43+AN43)*16</f>
        <v>0</v>
      </c>
      <c r="AR43" s="30" t="s">
        <v>23</v>
      </c>
      <c r="AS43" s="50"/>
      <c r="AT43" s="31" t="s">
        <v>24</v>
      </c>
      <c r="AU43" s="50"/>
      <c r="AV43" s="31" t="s">
        <v>25</v>
      </c>
      <c r="AW43" s="50"/>
      <c r="AX43" s="31" t="s">
        <v>59</v>
      </c>
      <c r="AY43" s="51">
        <f>SUM(AS43+AU43+AW43)*16</f>
        <v>0</v>
      </c>
      <c r="BA43" s="58">
        <v>240</v>
      </c>
      <c r="BB43" s="59"/>
      <c r="BC43" s="59"/>
      <c r="BD43" s="59"/>
      <c r="BE43" s="59"/>
      <c r="BF43" s="59"/>
      <c r="BG43" s="59"/>
      <c r="BH43" s="60"/>
      <c r="BJ43" s="67" t="s">
        <v>23</v>
      </c>
      <c r="BK43" s="68">
        <v>3</v>
      </c>
      <c r="BL43" s="69" t="s">
        <v>24</v>
      </c>
      <c r="BM43" s="68">
        <v>0</v>
      </c>
      <c r="BN43" s="69" t="s">
        <v>25</v>
      </c>
      <c r="BO43" s="68">
        <v>6</v>
      </c>
      <c r="BP43" s="69" t="s">
        <v>59</v>
      </c>
      <c r="BQ43" s="70">
        <f>SUM(BK43+BM43+BO43)*16</f>
        <v>144</v>
      </c>
      <c r="BS43" s="92" t="s">
        <v>23</v>
      </c>
      <c r="BT43" s="93">
        <v>3</v>
      </c>
      <c r="BU43" s="93" t="s">
        <v>24</v>
      </c>
      <c r="BV43" s="93">
        <v>0</v>
      </c>
      <c r="BW43" s="93" t="s">
        <v>25</v>
      </c>
      <c r="BX43" s="93">
        <v>3</v>
      </c>
      <c r="BY43" s="94" t="s">
        <v>59</v>
      </c>
      <c r="BZ43" s="95">
        <f>SUM(BT43+BV43+BX43)*16</f>
        <v>96</v>
      </c>
      <c r="CB43" s="32" t="s">
        <v>49</v>
      </c>
      <c r="CC43" s="33"/>
      <c r="CD43" s="33"/>
      <c r="CE43" s="33">
        <f>(CC42+CE42+CG42)</f>
        <v>240</v>
      </c>
      <c r="CF43" s="33"/>
      <c r="CG43" s="34"/>
    </row>
    <row r="44" spans="3:119" ht="15.75" thickBot="1" x14ac:dyDescent="0.3">
      <c r="N44" s="35" t="s">
        <v>60</v>
      </c>
      <c r="O44" s="4">
        <f>(I43+K43+M43)/3</f>
        <v>0</v>
      </c>
      <c r="W44" s="35" t="s">
        <v>60</v>
      </c>
      <c r="X44" s="4">
        <f>(R43+T43+V43)/3</f>
        <v>0</v>
      </c>
      <c r="AF44" s="35" t="s">
        <v>60</v>
      </c>
      <c r="AG44" s="4">
        <f>(AA43+AC43+AE43)/3</f>
        <v>0</v>
      </c>
      <c r="AO44" s="35" t="s">
        <v>60</v>
      </c>
      <c r="AP44" s="4">
        <f>(AJ43+AL43+AN43)/3</f>
        <v>0</v>
      </c>
      <c r="AX44" s="35" t="s">
        <v>60</v>
      </c>
      <c r="AY44" s="4">
        <f>(AS43+AU43+AW43)/3</f>
        <v>0</v>
      </c>
      <c r="BG44" s="35" t="s">
        <v>60</v>
      </c>
      <c r="BH44" s="4">
        <f>BA43/16/3</f>
        <v>5</v>
      </c>
      <c r="BP44" s="35" t="s">
        <v>60</v>
      </c>
      <c r="BQ44" s="4">
        <f>(BK43+BM43+BO43)/3</f>
        <v>3</v>
      </c>
      <c r="BY44" s="35" t="s">
        <v>60</v>
      </c>
      <c r="BZ44" s="4">
        <f>(BT43+BV43+BX43)/3</f>
        <v>2</v>
      </c>
      <c r="CB44" s="38" t="s">
        <v>26</v>
      </c>
      <c r="CC44" s="39"/>
      <c r="CD44" s="39"/>
      <c r="CE44" s="39">
        <f>O44+X44+AG44+AP44+AY44+BH44+BQ44+BZ44</f>
        <v>10</v>
      </c>
      <c r="CF44" s="39"/>
      <c r="CG44" s="40"/>
    </row>
    <row r="45" spans="3:119" ht="15.75" thickBot="1" x14ac:dyDescent="0.3">
      <c r="CB45" s="37"/>
      <c r="CC45" s="37"/>
      <c r="CD45" s="37"/>
      <c r="CE45" s="37"/>
      <c r="CF45" s="37"/>
      <c r="CG45" s="37"/>
    </row>
    <row r="46" spans="3:119" ht="15" customHeight="1" x14ac:dyDescent="0.25">
      <c r="C46" s="33" t="s">
        <v>57</v>
      </c>
      <c r="D46" s="33"/>
      <c r="E46" s="33"/>
      <c r="F46" s="33"/>
      <c r="H46" s="20" t="s">
        <v>21</v>
      </c>
      <c r="I46" s="21"/>
      <c r="J46" s="21"/>
      <c r="K46" s="21"/>
      <c r="L46" s="21"/>
      <c r="M46" s="21"/>
      <c r="N46" s="21"/>
      <c r="O46" s="22"/>
      <c r="Q46" s="20" t="s">
        <v>21</v>
      </c>
      <c r="R46" s="21"/>
      <c r="S46" s="21"/>
      <c r="T46" s="21"/>
      <c r="U46" s="21"/>
      <c r="V46" s="21"/>
      <c r="W46" s="21"/>
      <c r="X46" s="22"/>
      <c r="Z46" s="20" t="s">
        <v>21</v>
      </c>
      <c r="AA46" s="21"/>
      <c r="AB46" s="21"/>
      <c r="AC46" s="21"/>
      <c r="AD46" s="21"/>
      <c r="AE46" s="21"/>
      <c r="AF46" s="21"/>
      <c r="AG46" s="22"/>
      <c r="AI46" s="20" t="s">
        <v>21</v>
      </c>
      <c r="AJ46" s="21"/>
      <c r="AK46" s="21"/>
      <c r="AL46" s="21"/>
      <c r="AM46" s="21"/>
      <c r="AN46" s="21"/>
      <c r="AO46" s="21"/>
      <c r="AP46" s="22"/>
      <c r="AR46" s="20" t="s">
        <v>21</v>
      </c>
      <c r="AS46" s="21"/>
      <c r="AT46" s="21"/>
      <c r="AU46" s="21"/>
      <c r="AV46" s="21"/>
      <c r="AW46" s="21"/>
      <c r="AX46" s="21"/>
      <c r="AY46" s="22"/>
      <c r="BA46" s="20" t="s">
        <v>21</v>
      </c>
      <c r="BB46" s="21"/>
      <c r="BC46" s="21"/>
      <c r="BD46" s="21"/>
      <c r="BE46" s="21"/>
      <c r="BF46" s="21"/>
      <c r="BG46" s="21"/>
      <c r="BH46" s="22"/>
      <c r="BJ46" s="20" t="s">
        <v>21</v>
      </c>
      <c r="BK46" s="21"/>
      <c r="BL46" s="21"/>
      <c r="BM46" s="21"/>
      <c r="BN46" s="21"/>
      <c r="BO46" s="21"/>
      <c r="BP46" s="21"/>
      <c r="BQ46" s="22"/>
      <c r="BS46" s="20" t="s">
        <v>21</v>
      </c>
      <c r="BT46" s="21"/>
      <c r="BU46" s="21"/>
      <c r="BV46" s="21"/>
      <c r="BW46" s="21"/>
      <c r="BX46" s="21"/>
      <c r="BY46" s="21"/>
      <c r="BZ46" s="22"/>
      <c r="CB46" s="23" t="s">
        <v>72</v>
      </c>
      <c r="CC46" s="24"/>
      <c r="CD46" s="24"/>
      <c r="CE46" s="24"/>
      <c r="CF46" s="24"/>
      <c r="CG46" s="25"/>
    </row>
    <row r="47" spans="3:119" x14ac:dyDescent="0.25">
      <c r="C47" s="33"/>
      <c r="D47" s="33"/>
      <c r="E47" s="33"/>
      <c r="F47" s="33"/>
      <c r="H47" s="26"/>
      <c r="I47" s="12"/>
      <c r="J47" s="12"/>
      <c r="K47" s="12"/>
      <c r="L47" s="12"/>
      <c r="M47" s="12"/>
      <c r="N47" s="12"/>
      <c r="O47" s="27"/>
      <c r="Q47" s="26"/>
      <c r="R47" s="12"/>
      <c r="S47" s="12"/>
      <c r="T47" s="12"/>
      <c r="U47" s="12"/>
      <c r="V47" s="12"/>
      <c r="W47" s="12"/>
      <c r="X47" s="27"/>
      <c r="Z47" s="26"/>
      <c r="AA47" s="12"/>
      <c r="AB47" s="12"/>
      <c r="AC47" s="12"/>
      <c r="AD47" s="12"/>
      <c r="AE47" s="12"/>
      <c r="AF47" s="12"/>
      <c r="AG47" s="27"/>
      <c r="AI47" s="26"/>
      <c r="AJ47" s="12"/>
      <c r="AK47" s="12"/>
      <c r="AL47" s="12"/>
      <c r="AM47" s="12"/>
      <c r="AN47" s="12"/>
      <c r="AO47" s="12"/>
      <c r="AP47" s="27"/>
      <c r="AR47" s="26"/>
      <c r="AS47" s="12"/>
      <c r="AT47" s="12"/>
      <c r="AU47" s="12"/>
      <c r="AV47" s="12"/>
      <c r="AW47" s="12"/>
      <c r="AX47" s="12"/>
      <c r="AY47" s="27"/>
      <c r="BA47" s="26"/>
      <c r="BB47" s="12"/>
      <c r="BC47" s="12"/>
      <c r="BD47" s="12"/>
      <c r="BE47" s="12"/>
      <c r="BF47" s="12"/>
      <c r="BG47" s="12"/>
      <c r="BH47" s="27"/>
      <c r="BJ47" s="26"/>
      <c r="BK47" s="12"/>
      <c r="BL47" s="12"/>
      <c r="BM47" s="12"/>
      <c r="BN47" s="12"/>
      <c r="BO47" s="12"/>
      <c r="BP47" s="12"/>
      <c r="BQ47" s="27"/>
      <c r="BS47" s="26"/>
      <c r="BT47" s="12"/>
      <c r="BU47" s="12"/>
      <c r="BV47" s="12"/>
      <c r="BW47" s="12"/>
      <c r="BX47" s="12"/>
      <c r="BY47" s="12"/>
      <c r="BZ47" s="27"/>
      <c r="CB47" s="28" t="s">
        <v>23</v>
      </c>
      <c r="CC47" s="10">
        <f>(I48+R48+AA48+AJ48+AS48+BB48+BK48+BT48)*16</f>
        <v>0</v>
      </c>
      <c r="CD47" s="3" t="s">
        <v>24</v>
      </c>
      <c r="CE47" s="10">
        <f>(K48+T48+AC48+AL48+AU48+BD48+BM48+BV48)*16</f>
        <v>0</v>
      </c>
      <c r="CF47" s="3" t="s">
        <v>25</v>
      </c>
      <c r="CG47" s="29">
        <f>(M48+V48+AE48+AN48+AW48+BF48+BO48+BX48)*16</f>
        <v>0</v>
      </c>
    </row>
    <row r="48" spans="3:119" ht="15.75" thickBot="1" x14ac:dyDescent="0.3">
      <c r="H48" s="30" t="s">
        <v>23</v>
      </c>
      <c r="I48" s="50"/>
      <c r="J48" s="31" t="s">
        <v>24</v>
      </c>
      <c r="K48" s="50"/>
      <c r="L48" s="31" t="s">
        <v>25</v>
      </c>
      <c r="M48" s="50"/>
      <c r="N48" s="31" t="s">
        <v>59</v>
      </c>
      <c r="O48" s="51">
        <f>SUM(I48+K48+M48)*16</f>
        <v>0</v>
      </c>
      <c r="Q48" s="30" t="s">
        <v>23</v>
      </c>
      <c r="R48" s="50"/>
      <c r="S48" s="31" t="s">
        <v>24</v>
      </c>
      <c r="T48" s="50"/>
      <c r="U48" s="31" t="s">
        <v>25</v>
      </c>
      <c r="V48" s="50"/>
      <c r="W48" s="31" t="s">
        <v>59</v>
      </c>
      <c r="X48" s="51">
        <f>SUM(R48+T48+V48)*16</f>
        <v>0</v>
      </c>
      <c r="Z48" s="30" t="s">
        <v>23</v>
      </c>
      <c r="AA48" s="50"/>
      <c r="AB48" s="31" t="s">
        <v>24</v>
      </c>
      <c r="AC48" s="50"/>
      <c r="AD48" s="31" t="s">
        <v>25</v>
      </c>
      <c r="AE48" s="50"/>
      <c r="AF48" s="31" t="s">
        <v>59</v>
      </c>
      <c r="AG48" s="51">
        <f>SUM(AA48+AC48+AE48)*16</f>
        <v>0</v>
      </c>
      <c r="AI48" s="30" t="s">
        <v>23</v>
      </c>
      <c r="AJ48" s="50"/>
      <c r="AK48" s="31" t="s">
        <v>24</v>
      </c>
      <c r="AL48" s="50"/>
      <c r="AM48" s="31" t="s">
        <v>25</v>
      </c>
      <c r="AN48" s="50"/>
      <c r="AO48" s="31" t="s">
        <v>59</v>
      </c>
      <c r="AP48" s="51">
        <f>SUM(AJ48+AL48+AN48)*16</f>
        <v>0</v>
      </c>
      <c r="AR48" s="30" t="s">
        <v>23</v>
      </c>
      <c r="AS48" s="50"/>
      <c r="AT48" s="31" t="s">
        <v>24</v>
      </c>
      <c r="AU48" s="50"/>
      <c r="AV48" s="31" t="s">
        <v>25</v>
      </c>
      <c r="AW48" s="50"/>
      <c r="AX48" s="31" t="s">
        <v>59</v>
      </c>
      <c r="AY48" s="51">
        <f>SUM(AS48+AU48+AW48)*16</f>
        <v>0</v>
      </c>
      <c r="BA48" s="30" t="s">
        <v>23</v>
      </c>
      <c r="BB48" s="50"/>
      <c r="BC48" s="31" t="s">
        <v>24</v>
      </c>
      <c r="BD48" s="50"/>
      <c r="BE48" s="31" t="s">
        <v>25</v>
      </c>
      <c r="BF48" s="50"/>
      <c r="BG48" s="31" t="s">
        <v>59</v>
      </c>
      <c r="BH48" s="51">
        <f>SUM(BB48+BD48+BF48)*16</f>
        <v>0</v>
      </c>
      <c r="BJ48" s="30" t="s">
        <v>23</v>
      </c>
      <c r="BK48" s="50"/>
      <c r="BL48" s="31" t="s">
        <v>24</v>
      </c>
      <c r="BM48" s="50"/>
      <c r="BN48" s="31" t="s">
        <v>25</v>
      </c>
      <c r="BO48" s="50"/>
      <c r="BP48" s="31" t="s">
        <v>59</v>
      </c>
      <c r="BQ48" s="51">
        <f>SUM(BK48+BM48+BO48)*16</f>
        <v>0</v>
      </c>
      <c r="BS48" s="30" t="s">
        <v>23</v>
      </c>
      <c r="BT48" s="50">
        <v>0</v>
      </c>
      <c r="BU48" s="31" t="s">
        <v>24</v>
      </c>
      <c r="BV48" s="50">
        <v>0</v>
      </c>
      <c r="BW48" s="31" t="s">
        <v>25</v>
      </c>
      <c r="BX48" s="50">
        <v>0</v>
      </c>
      <c r="BY48" s="31" t="s">
        <v>59</v>
      </c>
      <c r="BZ48" s="51">
        <f>SUM(BT48+BV48+BX48)*16</f>
        <v>0</v>
      </c>
      <c r="CB48" s="32" t="s">
        <v>49</v>
      </c>
      <c r="CC48" s="33"/>
      <c r="CD48" s="33"/>
      <c r="CE48" s="33">
        <f>(CC47+CE47+CG47)</f>
        <v>0</v>
      </c>
      <c r="CF48" s="33"/>
      <c r="CG48" s="34"/>
      <c r="CN48" s="37"/>
      <c r="CW48" s="37"/>
      <c r="DF48" s="37"/>
      <c r="DO48" s="37"/>
    </row>
    <row r="49" spans="8:85" ht="15.75" thickBot="1" x14ac:dyDescent="0.3">
      <c r="N49" s="35" t="s">
        <v>60</v>
      </c>
      <c r="O49" s="4">
        <f>(I48+K48+M48)/3</f>
        <v>0</v>
      </c>
      <c r="W49" s="35" t="s">
        <v>60</v>
      </c>
      <c r="X49" s="4">
        <f>(R48+T48+V48)/3</f>
        <v>0</v>
      </c>
      <c r="AF49" s="35" t="s">
        <v>60</v>
      </c>
      <c r="AG49" s="4">
        <f>(AA48+AC48+AE48)/3</f>
        <v>0</v>
      </c>
      <c r="AO49" s="35" t="s">
        <v>60</v>
      </c>
      <c r="AP49" s="4">
        <f>(AJ48+AL48+AN48)/3</f>
        <v>0</v>
      </c>
      <c r="AX49" s="35" t="s">
        <v>60</v>
      </c>
      <c r="AY49" s="4">
        <f>(AS48+AU48+AW48)/3</f>
        <v>0</v>
      </c>
      <c r="BG49" s="35" t="s">
        <v>60</v>
      </c>
      <c r="BH49" s="4">
        <f>(BB48+BD48+BF48)/3</f>
        <v>0</v>
      </c>
      <c r="BP49" s="35" t="s">
        <v>60</v>
      </c>
      <c r="BQ49" s="4">
        <f>(BK48+BM48+BO48)/3</f>
        <v>0</v>
      </c>
      <c r="BY49" s="35" t="s">
        <v>60</v>
      </c>
      <c r="BZ49" s="36">
        <f>(BT48+BV48+BX48)/3</f>
        <v>0</v>
      </c>
      <c r="CB49" s="38" t="s">
        <v>26</v>
      </c>
      <c r="CC49" s="39"/>
      <c r="CD49" s="39"/>
      <c r="CE49" s="39">
        <f>O49+X49+AG49+AP49+AY49+BH49+BQ49+BZ49</f>
        <v>0</v>
      </c>
      <c r="CF49" s="39"/>
      <c r="CG49" s="40"/>
    </row>
    <row r="50" spans="8:85" x14ac:dyDescent="0.25">
      <c r="CB50" s="4"/>
      <c r="CC50" s="4"/>
      <c r="CD50" s="4"/>
      <c r="CE50" s="4"/>
      <c r="CF50" s="37"/>
    </row>
    <row r="51" spans="8:85" x14ac:dyDescent="0.25">
      <c r="H51" s="37" t="s">
        <v>21</v>
      </c>
      <c r="I51" s="5" t="s">
        <v>34</v>
      </c>
      <c r="AI51" s="37"/>
      <c r="AR51" s="37"/>
      <c r="BA51" s="37"/>
      <c r="BJ51" s="37"/>
    </row>
    <row r="52" spans="8:85" x14ac:dyDescent="0.25">
      <c r="H52" s="37" t="s">
        <v>15</v>
      </c>
      <c r="I52" s="41" t="s">
        <v>35</v>
      </c>
      <c r="J52" s="41"/>
      <c r="K52" s="41"/>
      <c r="L52" s="41"/>
      <c r="M52" s="41"/>
      <c r="N52" s="41"/>
      <c r="O52" s="41"/>
      <c r="AI52" s="37"/>
      <c r="AR52" s="37"/>
      <c r="BA52" s="37"/>
      <c r="BE52" s="41"/>
      <c r="BF52" s="41"/>
      <c r="BG52" s="41"/>
      <c r="BH52" s="41"/>
      <c r="BI52" s="41"/>
      <c r="BJ52" s="37"/>
      <c r="BK52" s="41"/>
      <c r="BL52" s="41"/>
      <c r="BM52" s="41"/>
      <c r="BN52" s="41"/>
      <c r="BO52" s="41"/>
      <c r="BP52" s="41"/>
      <c r="BQ52" s="41"/>
      <c r="BR52" s="41"/>
    </row>
    <row r="53" spans="8:85" x14ac:dyDescent="0.25">
      <c r="H53" s="37" t="s">
        <v>18</v>
      </c>
      <c r="I53" s="41" t="s">
        <v>36</v>
      </c>
      <c r="J53" s="41"/>
      <c r="K53" s="41"/>
      <c r="L53" s="41"/>
      <c r="M53" s="41"/>
      <c r="N53" s="41"/>
      <c r="O53" s="41"/>
      <c r="AI53" s="37"/>
      <c r="AR53" s="37"/>
      <c r="BA53" s="37"/>
      <c r="BE53" s="41"/>
      <c r="BF53" s="41"/>
      <c r="BG53" s="41"/>
      <c r="BH53" s="41"/>
      <c r="BI53" s="41"/>
      <c r="BJ53" s="37"/>
      <c r="BK53" s="41"/>
      <c r="BL53" s="41"/>
      <c r="BM53" s="41"/>
      <c r="BN53" s="41"/>
      <c r="BO53" s="41"/>
      <c r="BP53" s="41"/>
      <c r="BQ53" s="41"/>
      <c r="BR53" s="41"/>
    </row>
    <row r="54" spans="8:85" x14ac:dyDescent="0.25">
      <c r="H54" s="37" t="s">
        <v>20</v>
      </c>
      <c r="I54" s="41" t="s">
        <v>37</v>
      </c>
      <c r="J54" s="41"/>
      <c r="K54" s="41"/>
      <c r="L54" s="41"/>
      <c r="M54" s="41"/>
      <c r="N54" s="41"/>
      <c r="O54" s="41"/>
      <c r="AI54" s="37"/>
      <c r="AR54" s="37"/>
      <c r="BA54" s="37"/>
      <c r="BE54" s="41"/>
      <c r="BF54" s="41"/>
      <c r="BG54" s="41"/>
      <c r="BH54" s="41"/>
      <c r="BI54" s="41"/>
      <c r="BJ54" s="37"/>
      <c r="BK54" s="41"/>
      <c r="BL54" s="41"/>
      <c r="BM54" s="41"/>
      <c r="BN54" s="41"/>
      <c r="BO54" s="41"/>
      <c r="BP54" s="41"/>
      <c r="BQ54" s="41"/>
      <c r="BR54" s="41"/>
      <c r="CB54" s="42" t="s">
        <v>38</v>
      </c>
      <c r="CC54" s="42"/>
      <c r="CD54" s="42"/>
      <c r="CE54" s="42"/>
      <c r="CF54" s="42"/>
      <c r="CG54" s="5">
        <f>(CC22+CC27+CC32+CC37+CC42+CC17+CC12+CC7+CC47)</f>
        <v>96</v>
      </c>
    </row>
    <row r="55" spans="8:85" x14ac:dyDescent="0.25">
      <c r="AI55" s="37"/>
      <c r="AR55" s="37"/>
      <c r="BA55" s="37"/>
      <c r="BJ55" s="37"/>
      <c r="CB55" s="42" t="s">
        <v>39</v>
      </c>
      <c r="CC55" s="42"/>
      <c r="CD55" s="42"/>
      <c r="CE55" s="42"/>
      <c r="CF55" s="42"/>
      <c r="CG55" s="5">
        <f>(CE22+CE27+CE32+CE37+CE42+CE17+CE12+CE7+CE47)</f>
        <v>0</v>
      </c>
    </row>
    <row r="56" spans="8:85" x14ac:dyDescent="0.25">
      <c r="I56" s="41" t="s">
        <v>40</v>
      </c>
      <c r="AI56" s="37"/>
      <c r="AR56" s="37"/>
      <c r="BA56" s="37"/>
      <c r="BJ56" s="37"/>
      <c r="BK56" s="41"/>
      <c r="CB56" s="42" t="s">
        <v>41</v>
      </c>
      <c r="CC56" s="42"/>
      <c r="CD56" s="42"/>
      <c r="CE56" s="42"/>
      <c r="CF56" s="42"/>
      <c r="CG56" s="5">
        <f>(CG22+CG27+CG32+CG37+CG42+CG17+CG12+CG7+CG47)</f>
        <v>144</v>
      </c>
    </row>
    <row r="57" spans="8:85" x14ac:dyDescent="0.25">
      <c r="H57" s="43"/>
      <c r="I57" s="41" t="s">
        <v>42</v>
      </c>
      <c r="AI57" s="37"/>
      <c r="AR57" s="37"/>
      <c r="BA57" s="37"/>
      <c r="BJ57" s="37"/>
      <c r="BK57" s="41"/>
      <c r="CB57" s="42" t="s">
        <v>43</v>
      </c>
      <c r="CC57" s="42"/>
      <c r="CD57" s="42"/>
      <c r="CE57" s="42"/>
      <c r="CF57" s="42"/>
      <c r="CG57" s="5">
        <f>5*(3*16)</f>
        <v>240</v>
      </c>
    </row>
    <row r="58" spans="8:85" x14ac:dyDescent="0.25">
      <c r="H58" s="44"/>
      <c r="I58" s="41" t="s">
        <v>44</v>
      </c>
      <c r="AI58" s="37"/>
      <c r="AR58" s="37"/>
      <c r="BA58" s="37"/>
      <c r="BJ58" s="37"/>
      <c r="BK58" s="41"/>
      <c r="CB58" s="42" t="s">
        <v>45</v>
      </c>
      <c r="CC58" s="42"/>
      <c r="CD58" s="42"/>
      <c r="CE58" s="42"/>
      <c r="CF58" s="42"/>
      <c r="CG58" s="5">
        <f>2*(3*16)</f>
        <v>96</v>
      </c>
    </row>
    <row r="59" spans="8:85" x14ac:dyDescent="0.25">
      <c r="H59" s="45"/>
      <c r="I59" s="41" t="s">
        <v>46</v>
      </c>
      <c r="AI59" s="37"/>
      <c r="AR59" s="37"/>
      <c r="BA59" s="37"/>
      <c r="BJ59" s="37"/>
      <c r="BK59" s="41"/>
      <c r="CB59" s="42" t="s">
        <v>47</v>
      </c>
      <c r="CC59" s="42"/>
      <c r="CD59" s="42"/>
      <c r="CE59" s="42"/>
      <c r="CF59" s="42"/>
      <c r="CG59" s="5">
        <f>5*(3*16)</f>
        <v>240</v>
      </c>
    </row>
    <row r="60" spans="8:85" x14ac:dyDescent="0.25">
      <c r="H60" s="46"/>
      <c r="I60" s="41" t="s">
        <v>48</v>
      </c>
      <c r="AI60" s="37"/>
      <c r="AR60" s="37"/>
      <c r="BA60" s="37"/>
      <c r="BJ60" s="37"/>
      <c r="BK60" s="41"/>
      <c r="CB60" s="36" t="s">
        <v>49</v>
      </c>
      <c r="CC60" s="36"/>
      <c r="CD60" s="36"/>
      <c r="CE60" s="36"/>
      <c r="CF60" s="36"/>
      <c r="CG60" s="5">
        <f>CG54+CG55+CG56+CG57+CG58+CG59</f>
        <v>816</v>
      </c>
    </row>
    <row r="61" spans="8:85" x14ac:dyDescent="0.25">
      <c r="H61" s="47"/>
      <c r="I61" s="41" t="s">
        <v>50</v>
      </c>
      <c r="AI61" s="37"/>
      <c r="AR61" s="37"/>
      <c r="BA61" s="37"/>
      <c r="BJ61" s="37"/>
      <c r="BK61" s="41"/>
      <c r="CB61" s="36" t="s">
        <v>51</v>
      </c>
      <c r="CC61" s="36"/>
      <c r="CD61" s="36"/>
      <c r="CE61" s="36"/>
      <c r="CF61" s="36"/>
      <c r="CG61" s="5">
        <f>CG60/(3*16)</f>
        <v>17</v>
      </c>
    </row>
    <row r="62" spans="8:85" x14ac:dyDescent="0.25">
      <c r="H62" s="48"/>
      <c r="I62" s="41" t="s">
        <v>52</v>
      </c>
      <c r="AI62" s="37"/>
      <c r="AR62" s="37"/>
      <c r="BA62" s="37"/>
      <c r="BJ62" s="37"/>
      <c r="BK62" s="41"/>
    </row>
    <row r="63" spans="8:85" x14ac:dyDescent="0.25">
      <c r="H63" s="49"/>
      <c r="I63" s="41" t="s">
        <v>53</v>
      </c>
      <c r="AI63" s="37"/>
      <c r="AR63" s="37"/>
      <c r="BA63" s="37"/>
      <c r="BJ63" s="37"/>
      <c r="BK63" s="41"/>
    </row>
    <row r="64" spans="8:85" x14ac:dyDescent="0.25">
      <c r="H64" s="49"/>
      <c r="I64" s="41" t="s">
        <v>54</v>
      </c>
      <c r="AI64" s="37"/>
      <c r="AR64" s="37"/>
      <c r="BA64" s="37"/>
      <c r="BJ64" s="37"/>
      <c r="BK64" s="41"/>
    </row>
    <row r="65" spans="25:62" x14ac:dyDescent="0.25">
      <c r="Y65" s="37" t="s">
        <v>55</v>
      </c>
      <c r="AI65" s="37"/>
      <c r="AL65" s="37" t="s">
        <v>56</v>
      </c>
      <c r="AR65" s="37"/>
      <c r="BA65" s="37"/>
      <c r="BJ65" s="37"/>
    </row>
    <row r="66" spans="25:62" x14ac:dyDescent="0.25">
      <c r="AI66" s="37"/>
      <c r="AR66" s="37"/>
      <c r="BA66" s="37"/>
    </row>
  </sheetData>
  <mergeCells count="136">
    <mergeCell ref="BS46:BZ47"/>
    <mergeCell ref="BS33:BZ33"/>
    <mergeCell ref="BA43:BH43"/>
    <mergeCell ref="BS6:BZ7"/>
    <mergeCell ref="BS11:BZ12"/>
    <mergeCell ref="BS16:BZ17"/>
    <mergeCell ref="BS21:BZ22"/>
    <mergeCell ref="BS26:BZ27"/>
    <mergeCell ref="CB49:CD49"/>
    <mergeCell ref="CE49:CG49"/>
    <mergeCell ref="C16:F17"/>
    <mergeCell ref="C21:F22"/>
    <mergeCell ref="C26:F27"/>
    <mergeCell ref="C31:F32"/>
    <mergeCell ref="C36:F37"/>
    <mergeCell ref="C41:F42"/>
    <mergeCell ref="C46:F47"/>
    <mergeCell ref="BS31:BZ32"/>
    <mergeCell ref="CB43:CD43"/>
    <mergeCell ref="CE43:CG43"/>
    <mergeCell ref="CB44:CD44"/>
    <mergeCell ref="CE44:CG44"/>
    <mergeCell ref="CB46:CG46"/>
    <mergeCell ref="CB48:CD48"/>
    <mergeCell ref="CE48:CG48"/>
    <mergeCell ref="CB36:CG36"/>
    <mergeCell ref="CB38:CD38"/>
    <mergeCell ref="CE38:CG38"/>
    <mergeCell ref="CB39:CD39"/>
    <mergeCell ref="CE39:CG39"/>
    <mergeCell ref="CB41:CG41"/>
    <mergeCell ref="CB29:CD29"/>
    <mergeCell ref="CE29:CG29"/>
    <mergeCell ref="CB31:CG31"/>
    <mergeCell ref="CB33:CD33"/>
    <mergeCell ref="CE33:CG33"/>
    <mergeCell ref="CB34:CD34"/>
    <mergeCell ref="CE34:CG34"/>
    <mergeCell ref="CE23:CG23"/>
    <mergeCell ref="CB24:CD24"/>
    <mergeCell ref="CE24:CG24"/>
    <mergeCell ref="CB26:CG26"/>
    <mergeCell ref="CB28:CD28"/>
    <mergeCell ref="CE28:CG28"/>
    <mergeCell ref="BJ46:BQ47"/>
    <mergeCell ref="BS41:BZ42"/>
    <mergeCell ref="BS36:BZ37"/>
    <mergeCell ref="CB16:CG16"/>
    <mergeCell ref="CB18:CD18"/>
    <mergeCell ref="CE18:CG18"/>
    <mergeCell ref="CB19:CD19"/>
    <mergeCell ref="CE19:CG19"/>
    <mergeCell ref="CB21:CG21"/>
    <mergeCell ref="CB23:CD23"/>
    <mergeCell ref="H46:O47"/>
    <mergeCell ref="Q46:X47"/>
    <mergeCell ref="Z46:AG47"/>
    <mergeCell ref="AI46:AP47"/>
    <mergeCell ref="AR46:AY47"/>
    <mergeCell ref="BA46:BH47"/>
    <mergeCell ref="BJ36:BQ37"/>
    <mergeCell ref="H41:O42"/>
    <mergeCell ref="Q41:X42"/>
    <mergeCell ref="Z41:AG42"/>
    <mergeCell ref="AI41:AP42"/>
    <mergeCell ref="AR41:AY42"/>
    <mergeCell ref="BA41:BH42"/>
    <mergeCell ref="BJ41:BQ42"/>
    <mergeCell ref="H36:O37"/>
    <mergeCell ref="Q36:X37"/>
    <mergeCell ref="Z36:AG37"/>
    <mergeCell ref="AI36:AP37"/>
    <mergeCell ref="AR36:AY37"/>
    <mergeCell ref="BA36:BH37"/>
    <mergeCell ref="BJ26:BQ27"/>
    <mergeCell ref="H31:O32"/>
    <mergeCell ref="Q31:X32"/>
    <mergeCell ref="Z31:AG32"/>
    <mergeCell ref="AI31:AP32"/>
    <mergeCell ref="AR31:AY32"/>
    <mergeCell ref="BA31:BH32"/>
    <mergeCell ref="BJ31:BQ32"/>
    <mergeCell ref="Z21:AG22"/>
    <mergeCell ref="AI21:AP22"/>
    <mergeCell ref="AR21:AY22"/>
    <mergeCell ref="BA21:BH22"/>
    <mergeCell ref="BJ21:BQ22"/>
    <mergeCell ref="H26:O27"/>
    <mergeCell ref="Q26:X27"/>
    <mergeCell ref="Z26:AG27"/>
    <mergeCell ref="AI26:AP27"/>
    <mergeCell ref="AR26:AY27"/>
    <mergeCell ref="CB11:CG11"/>
    <mergeCell ref="CB13:CD13"/>
    <mergeCell ref="CB14:CD14"/>
    <mergeCell ref="CE13:CG13"/>
    <mergeCell ref="CE14:CG14"/>
    <mergeCell ref="H16:O17"/>
    <mergeCell ref="Q16:X17"/>
    <mergeCell ref="Z16:AG17"/>
    <mergeCell ref="AI16:AP17"/>
    <mergeCell ref="AR16:AY17"/>
    <mergeCell ref="H11:O12"/>
    <mergeCell ref="C11:F12"/>
    <mergeCell ref="Q11:X12"/>
    <mergeCell ref="Z11:AG12"/>
    <mergeCell ref="AI11:AP12"/>
    <mergeCell ref="AR11:AY12"/>
    <mergeCell ref="BA11:BH12"/>
    <mergeCell ref="BJ11:BQ12"/>
    <mergeCell ref="BA16:BH17"/>
    <mergeCell ref="BJ6:BQ7"/>
    <mergeCell ref="BA6:BH7"/>
    <mergeCell ref="AR6:AY7"/>
    <mergeCell ref="AI6:AP7"/>
    <mergeCell ref="Z6:AG7"/>
    <mergeCell ref="Q6:X7"/>
    <mergeCell ref="Q21:X22"/>
    <mergeCell ref="CB54:CF54"/>
    <mergeCell ref="CB55:CF55"/>
    <mergeCell ref="CB56:CF56"/>
    <mergeCell ref="CB57:CF57"/>
    <mergeCell ref="CB58:CF58"/>
    <mergeCell ref="CB59:CF59"/>
    <mergeCell ref="BS38:BZ38"/>
    <mergeCell ref="BA26:BH27"/>
    <mergeCell ref="H21:O22"/>
    <mergeCell ref="BJ16:BQ17"/>
    <mergeCell ref="CE8:CG8"/>
    <mergeCell ref="CB9:CD9"/>
    <mergeCell ref="CE9:CG9"/>
    <mergeCell ref="C1:CG3"/>
    <mergeCell ref="H6:O7"/>
    <mergeCell ref="CB6:CG6"/>
    <mergeCell ref="C6:F7"/>
    <mergeCell ref="CB8:CD8"/>
  </mergeCells>
  <pageMargins left="0.70866141732283472" right="0.70866141732283472" top="0.74803149606299213" bottom="0.74803149606299213" header="0.31496062992125984" footer="0.31496062992125984"/>
  <pageSetup paperSize="9" scale="24" orientation="landscape" horizontalDpi="360" verticalDpi="360" r:id="rId1"/>
  <ignoredErrors>
    <ignoredError sqref="CG58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7"/>
  <sheetViews>
    <sheetView zoomScale="80" zoomScaleNormal="100" workbookViewId="0">
      <selection activeCell="D13" sqref="D13"/>
    </sheetView>
  </sheetViews>
  <sheetFormatPr baseColWidth="10" defaultColWidth="9.140625" defaultRowHeight="15" x14ac:dyDescent="0.25"/>
  <cols>
    <col min="1" max="2" width="11.42578125" style="5" customWidth="1"/>
    <col min="3" max="3" width="22.140625" style="5" customWidth="1"/>
    <col min="4" max="4" width="14" style="5" customWidth="1"/>
    <col min="5" max="5" width="3.42578125" style="4" customWidth="1"/>
    <col min="6" max="6" width="11.42578125" style="5" customWidth="1"/>
    <col min="7" max="7" width="4.28515625" style="9" customWidth="1"/>
    <col min="8" max="8" width="18.5703125" style="9" bestFit="1" customWidth="1"/>
    <col min="9" max="9" width="22" style="9" bestFit="1" customWidth="1"/>
    <col min="10" max="10" width="15.28515625" style="5" customWidth="1"/>
    <col min="11" max="11" width="5.85546875" style="9" customWidth="1"/>
    <col min="12" max="12" width="18.5703125" style="9" bestFit="1" customWidth="1"/>
    <col min="13" max="13" width="22" style="9" bestFit="1" customWidth="1"/>
    <col min="14" max="14" width="47.7109375" style="5" customWidth="1"/>
    <col min="15" max="256" width="11.42578125" style="11" customWidth="1"/>
    <col min="257" max="16384" width="9.140625" style="11"/>
  </cols>
  <sheetData>
    <row r="1" spans="1:14" ht="37.5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32.25" customHeigh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spans="1:14" ht="21" customHeight="1" x14ac:dyDescent="0.25">
      <c r="A3" s="2" t="s">
        <v>1</v>
      </c>
      <c r="B3" s="2" t="s">
        <v>2</v>
      </c>
      <c r="C3" s="2" t="s">
        <v>3</v>
      </c>
      <c r="D3" s="17" t="s">
        <v>4</v>
      </c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12" t="s">
        <v>5</v>
      </c>
      <c r="B4" s="12"/>
      <c r="C4" s="16" t="s">
        <v>6</v>
      </c>
      <c r="D4" s="6" t="s">
        <v>7</v>
      </c>
      <c r="E4" s="3" t="s">
        <v>8</v>
      </c>
      <c r="F4" s="14" t="s">
        <v>9</v>
      </c>
      <c r="G4" s="14"/>
      <c r="H4" s="7" t="s">
        <v>10</v>
      </c>
      <c r="I4" s="7" t="s">
        <v>11</v>
      </c>
      <c r="J4" s="14" t="s">
        <v>12</v>
      </c>
      <c r="K4" s="14"/>
      <c r="L4" s="7" t="s">
        <v>10</v>
      </c>
      <c r="M4" s="7" t="s">
        <v>11</v>
      </c>
      <c r="N4" s="7" t="s">
        <v>13</v>
      </c>
    </row>
    <row r="5" spans="1:14" ht="14.45" customHeight="1" x14ac:dyDescent="0.25">
      <c r="A5" s="12"/>
      <c r="B5" s="12"/>
      <c r="C5" s="16"/>
      <c r="D5" s="6" t="s">
        <v>14</v>
      </c>
      <c r="E5" s="3"/>
      <c r="F5" s="8" t="s">
        <v>15</v>
      </c>
      <c r="G5" s="1">
        <v>3</v>
      </c>
      <c r="H5" s="12">
        <f>(G5+G6+G7)*16</f>
        <v>144</v>
      </c>
      <c r="I5" s="13">
        <f>H5/48</f>
        <v>3</v>
      </c>
      <c r="J5" s="8" t="s">
        <v>15</v>
      </c>
      <c r="K5" s="1">
        <v>4</v>
      </c>
      <c r="L5" s="12">
        <f>(K5+K6+K7)*16</f>
        <v>144</v>
      </c>
      <c r="M5" s="13">
        <f>L5/48</f>
        <v>3</v>
      </c>
      <c r="N5" s="18" t="s">
        <v>16</v>
      </c>
    </row>
    <row r="6" spans="1:14" x14ac:dyDescent="0.25">
      <c r="A6" s="12"/>
      <c r="B6" s="12"/>
      <c r="C6" s="16"/>
      <c r="D6" s="6" t="s">
        <v>17</v>
      </c>
      <c r="E6" s="3"/>
      <c r="F6" s="8" t="s">
        <v>18</v>
      </c>
      <c r="G6" s="1">
        <v>2</v>
      </c>
      <c r="H6" s="12"/>
      <c r="I6" s="13"/>
      <c r="J6" s="8" t="s">
        <v>18</v>
      </c>
      <c r="K6" s="1">
        <v>1</v>
      </c>
      <c r="L6" s="12"/>
      <c r="M6" s="13"/>
      <c r="N6" s="18"/>
    </row>
    <row r="7" spans="1:14" x14ac:dyDescent="0.25">
      <c r="A7" s="12"/>
      <c r="B7" s="12"/>
      <c r="C7" s="16"/>
      <c r="D7" s="6" t="s">
        <v>19</v>
      </c>
      <c r="E7" s="3"/>
      <c r="F7" s="8" t="s">
        <v>20</v>
      </c>
      <c r="G7" s="1">
        <v>4</v>
      </c>
      <c r="H7" s="12"/>
      <c r="I7" s="13"/>
      <c r="J7" s="8" t="s">
        <v>20</v>
      </c>
      <c r="K7" s="1">
        <v>4</v>
      </c>
      <c r="L7" s="12"/>
      <c r="M7" s="13"/>
      <c r="N7" s="18"/>
    </row>
  </sheetData>
  <mergeCells count="12">
    <mergeCell ref="L5:L7"/>
    <mergeCell ref="M5:M7"/>
    <mergeCell ref="F4:G4"/>
    <mergeCell ref="J4:K4"/>
    <mergeCell ref="A1:N2"/>
    <mergeCell ref="A4:A7"/>
    <mergeCell ref="B4:B7"/>
    <mergeCell ref="C4:C7"/>
    <mergeCell ref="D3:N3"/>
    <mergeCell ref="N5:N7"/>
    <mergeCell ref="H5:H7"/>
    <mergeCell ref="I5:I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MALLA CURRICULAR</vt:lpstr>
      <vt:lpstr>MODIFICACIONES EN ASIGNATURAS</vt:lpstr>
      <vt:lpstr>'MALLA CURRICULAR'!Área_de_impresión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cp:lastPrinted>2026-09-09T05:07:35Z</cp:lastPrinted>
  <dcterms:created xsi:type="dcterms:W3CDTF">2026-08-18T16:08:54Z</dcterms:created>
  <dcterms:modified xsi:type="dcterms:W3CDTF">2026-09-09T05:54:40Z</dcterms:modified>
  <cp:category/>
  <cp:contentStatus/>
</cp:coreProperties>
</file>