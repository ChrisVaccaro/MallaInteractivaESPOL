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13_ncr:1_{44199D1C-2700-4F5B-B0C0-4B4CBD61BBED}" xr6:coauthVersionLast="36" xr6:coauthVersionMax="47" xr10:uidLastSave="{00000000-0000-0000-0000-000000000000}"/>
  <bookViews>
    <workbookView xWindow="-60" yWindow="-60" windowWidth="15480" windowHeight="11640" tabRatio="570" xr2:uid="{73D17D42-2032-4221-9DBF-D2EB2D99B5D8}"/>
  </bookViews>
  <sheets>
    <sheet name="MALLA CURRICULAR" sheetId="8" r:id="rId1"/>
    <sheet name="MODIFICACIONES EN ASIGNATURAS" sheetId="1" r:id="rId2"/>
  </sheets>
  <definedNames>
    <definedName name="_xlnm.Print_Area" localSheetId="0">'MALLA CURRICULAR'!$A$1:$CH$67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52" i="8" l="1"/>
  <c r="BQ52" i="8"/>
  <c r="BH52" i="8"/>
  <c r="AY52" i="8"/>
  <c r="AP52" i="8"/>
  <c r="AG52" i="8"/>
  <c r="X52" i="8"/>
  <c r="O52" i="8"/>
  <c r="BZ51" i="8"/>
  <c r="BQ51" i="8"/>
  <c r="BH51" i="8"/>
  <c r="AY51" i="8"/>
  <c r="AP51" i="8"/>
  <c r="AG51" i="8"/>
  <c r="X51" i="8"/>
  <c r="O51" i="8"/>
  <c r="BZ47" i="8"/>
  <c r="BQ47" i="8"/>
  <c r="BH47" i="8"/>
  <c r="AY47" i="8"/>
  <c r="AP47" i="8"/>
  <c r="AG47" i="8"/>
  <c r="X47" i="8"/>
  <c r="O47" i="8"/>
  <c r="BZ46" i="8"/>
  <c r="BQ46" i="8"/>
  <c r="BH46" i="8"/>
  <c r="AY46" i="8"/>
  <c r="AP46" i="8"/>
  <c r="AG46" i="8"/>
  <c r="X46" i="8"/>
  <c r="O46" i="8"/>
  <c r="BZ42" i="8"/>
  <c r="BQ42" i="8"/>
  <c r="BH42" i="8"/>
  <c r="AY42" i="8"/>
  <c r="AP42" i="8"/>
  <c r="AG42" i="8"/>
  <c r="X42" i="8"/>
  <c r="O42" i="8"/>
  <c r="BZ41" i="8"/>
  <c r="BQ41" i="8"/>
  <c r="BH41" i="8"/>
  <c r="AY41" i="8"/>
  <c r="AP41" i="8"/>
  <c r="AG41" i="8"/>
  <c r="X41" i="8"/>
  <c r="O41" i="8"/>
  <c r="BZ37" i="8"/>
  <c r="BQ37" i="8"/>
  <c r="BH37" i="8"/>
  <c r="AY37" i="8"/>
  <c r="AP37" i="8"/>
  <c r="AG37" i="8"/>
  <c r="X37" i="8"/>
  <c r="O37" i="8"/>
  <c r="BZ36" i="8"/>
  <c r="BQ36" i="8"/>
  <c r="BH36" i="8"/>
  <c r="AY36" i="8"/>
  <c r="AP36" i="8"/>
  <c r="AG36" i="8"/>
  <c r="X36" i="8"/>
  <c r="O36" i="8"/>
  <c r="BZ32" i="8"/>
  <c r="BQ32" i="8"/>
  <c r="BH32" i="8"/>
  <c r="AY32" i="8"/>
  <c r="AP32" i="8"/>
  <c r="AG32" i="8"/>
  <c r="X32" i="8"/>
  <c r="O32" i="8"/>
  <c r="BZ31" i="8"/>
  <c r="BQ31" i="8"/>
  <c r="BH31" i="8"/>
  <c r="AY31" i="8"/>
  <c r="AP31" i="8"/>
  <c r="AG31" i="8"/>
  <c r="X31" i="8"/>
  <c r="O31" i="8"/>
  <c r="BZ27" i="8"/>
  <c r="BQ27" i="8"/>
  <c r="BH27" i="8"/>
  <c r="AY27" i="8"/>
  <c r="AP27" i="8"/>
  <c r="AG27" i="8"/>
  <c r="X27" i="8"/>
  <c r="O27" i="8"/>
  <c r="BZ26" i="8"/>
  <c r="BQ26" i="8"/>
  <c r="BH26" i="8"/>
  <c r="AY26" i="8"/>
  <c r="AP26" i="8"/>
  <c r="AG26" i="8"/>
  <c r="X26" i="8"/>
  <c r="O26" i="8"/>
  <c r="BZ22" i="8"/>
  <c r="BQ22" i="8"/>
  <c r="BH22" i="8"/>
  <c r="AY22" i="8"/>
  <c r="AP22" i="8"/>
  <c r="AG22" i="8"/>
  <c r="X22" i="8"/>
  <c r="O22" i="8"/>
  <c r="BZ21" i="8"/>
  <c r="BQ21" i="8"/>
  <c r="BH21" i="8"/>
  <c r="AY21" i="8"/>
  <c r="AP21" i="8"/>
  <c r="AG21" i="8"/>
  <c r="X21" i="8"/>
  <c r="O21" i="8"/>
  <c r="BZ11" i="8" l="1"/>
  <c r="BZ12" i="8"/>
  <c r="BZ16" i="8"/>
  <c r="BZ17" i="8"/>
  <c r="BQ11" i="8"/>
  <c r="BQ12" i="8"/>
  <c r="BQ16" i="8"/>
  <c r="BQ17" i="8"/>
  <c r="X12" i="8"/>
  <c r="BH12" i="8"/>
  <c r="AY12" i="8"/>
  <c r="AP12" i="8"/>
  <c r="AG12" i="8"/>
  <c r="O12" i="8"/>
  <c r="BH11" i="8"/>
  <c r="AY11" i="8"/>
  <c r="AP11" i="8"/>
  <c r="AG11" i="8"/>
  <c r="X11" i="8"/>
  <c r="O11" i="8"/>
  <c r="CG61" i="8"/>
  <c r="CG59" i="8"/>
  <c r="CG60" i="8"/>
  <c r="CE35" i="8" a="1"/>
  <c r="CE35" i="8" s="1"/>
  <c r="CE30" i="8" a="1"/>
  <c r="CE30" i="8" s="1"/>
  <c r="CE25" i="8" a="1"/>
  <c r="CE25" i="8" s="1"/>
  <c r="CE20" i="8" a="1"/>
  <c r="CE20" i="8" s="1"/>
  <c r="BH17" i="8"/>
  <c r="BH16" i="8"/>
  <c r="AY17" i="8"/>
  <c r="AY16" i="8"/>
  <c r="AP17" i="8"/>
  <c r="AP16" i="8"/>
  <c r="AG17" i="8"/>
  <c r="AG16" i="8"/>
  <c r="X17" i="8"/>
  <c r="X16" i="8"/>
  <c r="O17" i="8"/>
  <c r="O16" i="8"/>
  <c r="CE15" i="8" s="1" a="1"/>
  <c r="CE15" i="8" s="1"/>
  <c r="CE10" i="8" l="1" a="1"/>
  <c r="CE10" i="8" s="1"/>
  <c r="CE47" i="8"/>
  <c r="CE46" i="8" s="1"/>
  <c r="CG45" i="8" s="1" a="1"/>
  <c r="CG45" i="8" s="1"/>
  <c r="CE50" i="8" a="1"/>
  <c r="CE50" i="8" s="1"/>
  <c r="CC15" i="8" a="1"/>
  <c r="CC15" i="8" s="1"/>
  <c r="CE40" i="8" a="1"/>
  <c r="CE40" i="8" s="1"/>
  <c r="CE52" i="8"/>
  <c r="CE51" i="8" s="1"/>
  <c r="CG50" i="8" s="1" a="1"/>
  <c r="CG50" i="8" s="1"/>
  <c r="CC25" i="8" a="1"/>
  <c r="CC25" i="8" s="1"/>
  <c r="CE45" i="8" a="1"/>
  <c r="CE45" i="8" s="1"/>
  <c r="CC30" i="8" a="1"/>
  <c r="CC30" i="8" s="1"/>
  <c r="CC35" i="8" a="1"/>
  <c r="CC35" i="8" s="1"/>
  <c r="CC10" i="8" a="1"/>
  <c r="CC10" i="8" s="1"/>
  <c r="CC40" i="8" a="1"/>
  <c r="CC40" i="8" s="1"/>
  <c r="CC45" i="8" a="1"/>
  <c r="CC45" i="8" s="1"/>
  <c r="CC20" i="8" a="1"/>
  <c r="CC20" i="8" s="1"/>
  <c r="CC50" i="8" a="1"/>
  <c r="CC50" i="8" s="1"/>
  <c r="CE32" i="8"/>
  <c r="CE31" i="8" s="1"/>
  <c r="CG30" i="8" s="1" a="1"/>
  <c r="CG30" i="8" s="1"/>
  <c r="CE22" i="8"/>
  <c r="CE21" i="8" s="1"/>
  <c r="CG20" i="8" s="1" a="1"/>
  <c r="CG20" i="8" s="1"/>
  <c r="CE17" i="8"/>
  <c r="CE16" i="8" s="1"/>
  <c r="CG15" i="8" s="1" a="1"/>
  <c r="CG15" i="8" s="1"/>
  <c r="CE42" i="8"/>
  <c r="CE41" i="8" s="1"/>
  <c r="CG40" i="8" s="1" a="1"/>
  <c r="CG40" i="8" s="1"/>
  <c r="CE37" i="8"/>
  <c r="CE36" i="8" s="1"/>
  <c r="CG35" i="8" s="1" a="1"/>
  <c r="CG35" i="8" s="1"/>
  <c r="CE27" i="8"/>
  <c r="CE26" i="8" s="1"/>
  <c r="CG25" i="8" s="1" a="1"/>
  <c r="CG25" i="8" s="1"/>
  <c r="CE12" i="8"/>
  <c r="CE11" i="8" s="1"/>
  <c r="CG10" i="8" s="1" a="1"/>
  <c r="CG10" i="8" s="1"/>
  <c r="CG56" i="8" l="1"/>
  <c r="CG57" i="8"/>
  <c r="CG58" i="8"/>
  <c r="CG62" i="8" l="1"/>
  <c r="CG6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estudiante</author>
  </authors>
  <commentList>
    <comment ref="BK6" authorId="0" shapeId="0" xr:uid="{EBA14333-72E2-4B1D-96A3-6EF53E79E6F0}">
      <text>
        <r>
          <rPr>
            <b/>
            <sz val="9"/>
            <color indexed="81"/>
            <rFont val="Tahoma"/>
            <family val="2"/>
          </rPr>
          <t>Si no usa este bloque puede eliminar las columnas desde BJ hasta BR</t>
        </r>
      </text>
    </comment>
    <comment ref="BT6" authorId="0" shapeId="0" xr:uid="{632E8BC0-C28D-444B-9B27-55806BDABBCF}">
      <text>
        <r>
          <rPr>
            <b/>
            <sz val="9"/>
            <color indexed="81"/>
            <rFont val="Tahoma"/>
            <family val="2"/>
          </rPr>
          <t>Si no usa este bloque puede eliminar las columnas desde BS hasta CA</t>
        </r>
      </text>
    </comment>
  </commentList>
</comments>
</file>

<file path=xl/sharedStrings.xml><?xml version="1.0" encoding="utf-8"?>
<sst xmlns="http://schemas.openxmlformats.org/spreadsheetml/2006/main" count="479" uniqueCount="72">
  <si>
    <t>MODIFICACIÓN EN ASIGNATURAS DE LA MALLA CURRICULAR</t>
  </si>
  <si>
    <t>CÓDIGO</t>
  </si>
  <si>
    <t>NIVEL</t>
  </si>
  <si>
    <t>ASIGNATURA</t>
  </si>
  <si>
    <t>DETALLE/JUSTIFICACIÓN</t>
  </si>
  <si>
    <t>CAMBIO</t>
  </si>
  <si>
    <t>VIGENTE</t>
  </si>
  <si>
    <t>TOTAL HORAS</t>
  </si>
  <si>
    <t>TOTAL CRÉDITOS</t>
  </si>
  <si>
    <t>PROPUESTO</t>
  </si>
  <si>
    <t>COMENTARIOS</t>
  </si>
  <si>
    <t>ELIMINACIÓN</t>
  </si>
  <si>
    <t>ACD</t>
  </si>
  <si>
    <t>CREACIÓN</t>
  </si>
  <si>
    <t>APE</t>
  </si>
  <si>
    <t>OTRO</t>
  </si>
  <si>
    <t>AA</t>
  </si>
  <si>
    <t>NIVEL 100 - I</t>
  </si>
  <si>
    <t>ACD:</t>
  </si>
  <si>
    <t>APE:</t>
  </si>
  <si>
    <t>AA:</t>
  </si>
  <si>
    <t>TOTAL DE  CREDITOS</t>
  </si>
  <si>
    <t>NIVEL 100 - II</t>
  </si>
  <si>
    <t>NIVEL 200 - I</t>
  </si>
  <si>
    <t>NIVEL 200 - II</t>
  </si>
  <si>
    <t>NIVEL 300 - I</t>
  </si>
  <si>
    <t>NIVEL 300 - II</t>
  </si>
  <si>
    <t>NIVEL 400 - I</t>
  </si>
  <si>
    <t>NIVEL 400 - II</t>
  </si>
  <si>
    <t>Hora de Aprendizaje en contacto con el docente</t>
  </si>
  <si>
    <t>Horas de Aprendizaje práctico-experimental</t>
  </si>
  <si>
    <t>Horas de Aprendizaje Autonomo</t>
  </si>
  <si>
    <t>TOTAL HORAS ACD</t>
  </si>
  <si>
    <t>Matemática y Ciencias Básicas</t>
  </si>
  <si>
    <t>Educación General</t>
  </si>
  <si>
    <t>C de Arte y Deportes</t>
  </si>
  <si>
    <t>TOTAL DE PRÁCTICAS DE SERVICIOS COMUNITARIOS</t>
  </si>
  <si>
    <t>U. de Integración Curricular</t>
  </si>
  <si>
    <t>INTEGRACIÓN CURRICULAR</t>
  </si>
  <si>
    <t>Itinerario</t>
  </si>
  <si>
    <t>TOTAL DE HORAS</t>
  </si>
  <si>
    <t>Formación Profesional</t>
  </si>
  <si>
    <t>TOTAL DE CRÉDITOS</t>
  </si>
  <si>
    <t>C de Humanísticas</t>
  </si>
  <si>
    <t>Prácticas Comunitarias</t>
  </si>
  <si>
    <t>Prácticas Empresariales</t>
  </si>
  <si>
    <t>ELABORADO POR:</t>
  </si>
  <si>
    <t>VALIDADO Y APROBADO POR:</t>
  </si>
  <si>
    <t>NIVEL 500 - I</t>
  </si>
  <si>
    <t>TOTAL HORAS NIVEL 100-I</t>
  </si>
  <si>
    <t>Horas Totales:</t>
  </si>
  <si>
    <t>CRÉD.</t>
  </si>
  <si>
    <t>TOTAL HORAS NIVEL 100-II</t>
  </si>
  <si>
    <t>TOTAL HORAS NIVEL 200-I</t>
  </si>
  <si>
    <t>TOTAL HORAS NIVEL 200-II</t>
  </si>
  <si>
    <t>TOTAL HORAS NIVEL 300-I</t>
  </si>
  <si>
    <t>TOTAL HORAS NIVEL 300-II</t>
  </si>
  <si>
    <t>TOTAL HORAS NIVEL 400-I</t>
  </si>
  <si>
    <t>TOTAL HORAS NIVEL 400-II</t>
  </si>
  <si>
    <t>TOTAL HORAS NIVEL 500-I</t>
  </si>
  <si>
    <t>ASIGNATURA 1</t>
  </si>
  <si>
    <t>ASIGNATURA 2</t>
  </si>
  <si>
    <t>ASIGNATURA 3</t>
  </si>
  <si>
    <t>ASIGNATURA 4</t>
  </si>
  <si>
    <t>ASIGNATURA 5</t>
  </si>
  <si>
    <t>ASIGNATURA 6</t>
  </si>
  <si>
    <t>ASIGNATURA 7</t>
  </si>
  <si>
    <t>ASIGNATURA 8</t>
  </si>
  <si>
    <t>TOTAL HORAS APE</t>
  </si>
  <si>
    <t>TOTAL HORAS AA</t>
  </si>
  <si>
    <t>TOTAL DE PRÁCTICAS PREPROFESIONALES EMPRESARIALES</t>
  </si>
  <si>
    <t>MALLA CURRICULAR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</si>
</sst>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FE6"/>
        <bgColor indexed="64"/>
      </patternFill>
    </fill>
    <fill>
      <patternFill patternType="solid">
        <fgColor rgb="FFF8C1A0"/>
        <bgColor indexed="64"/>
      </patternFill>
    </fill>
    <fill>
      <patternFill patternType="solid">
        <fgColor rgb="FF003566"/>
        <bgColor indexed="64"/>
      </patternFill>
    </fill>
    <fill>
      <patternFill patternType="solid">
        <fgColor rgb="FF7092BE"/>
        <bgColor indexed="64"/>
      </patternFill>
    </fill>
    <fill>
      <patternFill patternType="solid">
        <fgColor rgb="FFFBEFAE"/>
        <bgColor indexed="64"/>
      </patternFill>
    </fill>
    <fill>
      <patternFill patternType="solid">
        <fgColor rgb="FF93D0CC"/>
        <bgColor indexed="64"/>
      </patternFill>
    </fill>
    <fill>
      <patternFill patternType="solid">
        <fgColor rgb="FFFCDC7D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0" xfId="0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0" fontId="0" fillId="0" borderId="1" xfId="0" applyBorder="1" applyAlignment="1" applyProtection="1">
      <alignment horizontal="center" vertical="center"/>
    </xf>
    <xf numFmtId="0" fontId="0" fillId="0" borderId="28" xfId="0" applyBorder="1" applyAlignment="1" applyProtection="1">
      <alignment horizontal="center" vertical="center"/>
    </xf>
    <xf numFmtId="0" fontId="2" fillId="0" borderId="27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center" vertical="center"/>
    </xf>
    <xf numFmtId="0" fontId="0" fillId="0" borderId="34" xfId="0" applyBorder="1" applyAlignment="1" applyProtection="1">
      <alignment horizontal="center" vertical="center"/>
    </xf>
    <xf numFmtId="0" fontId="0" fillId="0" borderId="36" xfId="0" applyBorder="1" applyAlignment="1" applyProtection="1">
      <alignment horizontal="center" vertical="center"/>
    </xf>
    <xf numFmtId="0" fontId="0" fillId="0" borderId="39" xfId="0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2" fillId="0" borderId="9" xfId="0" applyFont="1" applyBorder="1" applyAlignment="1" applyProtection="1">
      <alignment vertical="center"/>
    </xf>
    <xf numFmtId="0" fontId="0" fillId="0" borderId="10" xfId="0" applyBorder="1" applyAlignment="1" applyProtection="1">
      <alignment horizontal="center" vertical="center"/>
    </xf>
    <xf numFmtId="0" fontId="2" fillId="0" borderId="10" xfId="0" applyFont="1" applyBorder="1" applyAlignment="1" applyProtection="1">
      <alignment vertical="center"/>
    </xf>
    <xf numFmtId="0" fontId="0" fillId="0" borderId="11" xfId="0" applyBorder="1" applyAlignment="1" applyProtection="1">
      <alignment horizontal="center" vertical="center"/>
    </xf>
    <xf numFmtId="0" fontId="2" fillId="0" borderId="0" xfId="0" applyFont="1" applyAlignment="1" applyProtection="1">
      <alignment horizontal="right" vertical="center"/>
    </xf>
    <xf numFmtId="0" fontId="0" fillId="0" borderId="0" xfId="0" applyAlignment="1" applyProtection="1">
      <alignment horizontal="left" vertical="center"/>
    </xf>
    <xf numFmtId="0" fontId="0" fillId="5" borderId="0" xfId="0" applyFill="1" applyAlignment="1" applyProtection="1">
      <alignment vertical="center"/>
    </xf>
    <xf numFmtId="0" fontId="0" fillId="6" borderId="0" xfId="0" applyFill="1" applyAlignment="1" applyProtection="1">
      <alignment vertical="center"/>
    </xf>
    <xf numFmtId="0" fontId="0" fillId="7" borderId="0" xfId="0" applyFill="1" applyAlignment="1" applyProtection="1">
      <alignment vertical="center"/>
    </xf>
    <xf numFmtId="0" fontId="0" fillId="8" borderId="0" xfId="0" applyFill="1" applyAlignment="1" applyProtection="1">
      <alignment vertical="center"/>
    </xf>
    <xf numFmtId="0" fontId="0" fillId="9" borderId="0" xfId="0" applyFill="1" applyAlignment="1" applyProtection="1">
      <alignment vertical="center"/>
    </xf>
    <xf numFmtId="0" fontId="0" fillId="10" borderId="0" xfId="0" applyFill="1" applyAlignment="1" applyProtection="1">
      <alignment vertical="center"/>
    </xf>
    <xf numFmtId="0" fontId="0" fillId="11" borderId="0" xfId="0" applyFill="1" applyAlignment="1" applyProtection="1">
      <alignment vertical="center"/>
    </xf>
    <xf numFmtId="0" fontId="2" fillId="0" borderId="35" xfId="0" applyFont="1" applyBorder="1" applyAlignment="1" applyProtection="1">
      <alignment horizontal="left" vertical="center"/>
    </xf>
    <xf numFmtId="0" fontId="2" fillId="0" borderId="17" xfId="0" applyFont="1" applyBorder="1" applyAlignment="1" applyProtection="1">
      <alignment horizontal="left" vertical="center"/>
    </xf>
    <xf numFmtId="0" fontId="0" fillId="0" borderId="4" xfId="0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0" fontId="0" fillId="0" borderId="12" xfId="0" applyBorder="1" applyAlignment="1" applyProtection="1">
      <alignment horizontal="center" vertical="center"/>
    </xf>
    <xf numFmtId="0" fontId="0" fillId="0" borderId="13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15" xfId="0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28" xfId="0" applyFont="1" applyBorder="1" applyAlignment="1" applyProtection="1">
      <alignment horizontal="center" vertical="center"/>
    </xf>
    <xf numFmtId="0" fontId="2" fillId="0" borderId="29" xfId="0" applyFont="1" applyBorder="1" applyAlignment="1" applyProtection="1">
      <alignment horizontal="center" vertical="center"/>
    </xf>
    <xf numFmtId="0" fontId="2" fillId="0" borderId="30" xfId="0" applyFont="1" applyBorder="1" applyAlignment="1" applyProtection="1">
      <alignment horizontal="center" vertical="center"/>
    </xf>
    <xf numFmtId="0" fontId="2" fillId="0" borderId="31" xfId="0" applyFont="1" applyBorder="1" applyAlignment="1" applyProtection="1">
      <alignment horizontal="center" vertical="center"/>
    </xf>
    <xf numFmtId="0" fontId="2" fillId="0" borderId="27" xfId="0" applyFont="1" applyBorder="1" applyAlignment="1" applyProtection="1">
      <alignment horizontal="center" vertical="center"/>
    </xf>
    <xf numFmtId="0" fontId="2" fillId="0" borderId="32" xfId="0" applyFont="1" applyBorder="1" applyAlignment="1" applyProtection="1">
      <alignment horizontal="left" vertical="center"/>
    </xf>
    <xf numFmtId="0" fontId="2" fillId="0" borderId="33" xfId="0" applyFont="1" applyBorder="1" applyAlignment="1" applyProtection="1">
      <alignment horizontal="left" vertical="center"/>
    </xf>
    <xf numFmtId="0" fontId="2" fillId="0" borderId="24" xfId="0" applyFont="1" applyBorder="1" applyAlignment="1" applyProtection="1">
      <alignment horizontal="center" vertical="center" wrapText="1"/>
    </xf>
    <xf numFmtId="0" fontId="2" fillId="0" borderId="25" xfId="0" applyFont="1" applyBorder="1" applyAlignment="1" applyProtection="1">
      <alignment horizontal="center" vertical="center" wrapText="1"/>
    </xf>
    <xf numFmtId="0" fontId="2" fillId="0" borderId="26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/>
    </xf>
    <xf numFmtId="0" fontId="2" fillId="0" borderId="37" xfId="0" applyFont="1" applyBorder="1" applyAlignment="1" applyProtection="1">
      <alignment horizontal="left" vertical="center"/>
    </xf>
    <xf numFmtId="0" fontId="2" fillId="0" borderId="38" xfId="0" applyFont="1" applyBorder="1" applyAlignment="1" applyProtection="1">
      <alignment horizontal="left" vertical="center"/>
    </xf>
    <xf numFmtId="0" fontId="4" fillId="0" borderId="0" xfId="0" applyFont="1" applyAlignment="1" applyProtection="1">
      <alignment horizontal="center" vertical="center"/>
    </xf>
    <xf numFmtId="0" fontId="5" fillId="0" borderId="18" xfId="0" applyFont="1" applyBorder="1" applyAlignment="1" applyProtection="1">
      <alignment horizontal="center" vertical="center"/>
    </xf>
    <xf numFmtId="0" fontId="5" fillId="0" borderId="19" xfId="0" applyFont="1" applyBorder="1" applyAlignment="1" applyProtection="1">
      <alignment horizontal="center" vertical="center"/>
    </xf>
    <xf numFmtId="0" fontId="5" fillId="0" borderId="20" xfId="0" applyFont="1" applyBorder="1" applyAlignment="1" applyProtection="1">
      <alignment horizontal="center" vertical="center"/>
    </xf>
    <xf numFmtId="0" fontId="5" fillId="0" borderId="21" xfId="0" applyFont="1" applyBorder="1" applyAlignment="1" applyProtection="1">
      <alignment horizontal="center" vertical="center"/>
    </xf>
    <xf numFmtId="0" fontId="5" fillId="0" borderId="22" xfId="0" applyFont="1" applyBorder="1" applyAlignment="1" applyProtection="1">
      <alignment horizontal="center" vertical="center"/>
    </xf>
    <xf numFmtId="0" fontId="5" fillId="0" borderId="23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092BE"/>
      <color rgb="FFFCDC7D"/>
      <color rgb="FF0035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233630</xdr:colOff>
      <xdr:row>0</xdr:row>
      <xdr:rowOff>131205</xdr:rowOff>
    </xdr:from>
    <xdr:to>
      <xdr:col>13</xdr:col>
      <xdr:colOff>32745</xdr:colOff>
      <xdr:row>4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94D8743-BFFE-4C86-B1E6-42A725C44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481" y="131205"/>
          <a:ext cx="2811075" cy="5896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335606</xdr:colOff>
      <xdr:row>0</xdr:row>
      <xdr:rowOff>148166</xdr:rowOff>
    </xdr:from>
    <xdr:to>
      <xdr:col>2</xdr:col>
      <xdr:colOff>1192385</xdr:colOff>
      <xdr:row>1</xdr:row>
      <xdr:rowOff>224231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E55EF2-E4D0-4CAA-BCDA-10234ED58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606" y="148166"/>
          <a:ext cx="2380779" cy="555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72F1-0C88-45CE-AD8C-A6A20B371D9E}">
  <sheetPr>
    <pageSetUpPr fitToPage="1"/>
  </sheetPr>
  <dimension ref="C1:DO68"/>
  <sheetViews>
    <sheetView tabSelected="1" zoomScale="37" zoomScaleNormal="68" zoomScaleSheetLayoutView="100" workbookViewId="0">
      <selection activeCell="H5" sqref="H5"/>
    </sheetView>
  </sheetViews>
  <sheetFormatPr baseColWidth="10" defaultColWidth="8.85546875" defaultRowHeight="15" x14ac:dyDescent="0.25"/>
  <cols>
    <col min="1" max="1" width="8.85546875" style="13"/>
    <col min="2" max="2" width="3.7109375" style="13" customWidth="1"/>
    <col min="3" max="7" width="4.85546875" style="13" customWidth="1"/>
    <col min="8" max="13" width="5" style="13" customWidth="1"/>
    <col min="14" max="14" width="14.28515625" style="13" customWidth="1"/>
    <col min="15" max="15" width="5" style="13" customWidth="1"/>
    <col min="16" max="16" width="3.85546875" style="13" customWidth="1"/>
    <col min="17" max="22" width="5" style="13" customWidth="1"/>
    <col min="23" max="23" width="14.28515625" style="13" customWidth="1"/>
    <col min="24" max="24" width="5" style="13" customWidth="1"/>
    <col min="25" max="25" width="3.85546875" style="13" customWidth="1"/>
    <col min="26" max="31" width="5" style="13" customWidth="1"/>
    <col min="32" max="32" width="14.28515625" style="13" customWidth="1"/>
    <col min="33" max="33" width="5" style="13" customWidth="1"/>
    <col min="34" max="34" width="3.85546875" style="13" customWidth="1"/>
    <col min="35" max="40" width="5" style="13" customWidth="1"/>
    <col min="41" max="41" width="14.28515625" style="13" customWidth="1"/>
    <col min="42" max="42" width="5" style="13" customWidth="1"/>
    <col min="43" max="43" width="3.85546875" style="13" customWidth="1"/>
    <col min="44" max="49" width="5" style="13" customWidth="1"/>
    <col min="50" max="50" width="14.28515625" style="13" customWidth="1"/>
    <col min="51" max="51" width="5" style="13" customWidth="1"/>
    <col min="52" max="52" width="3.85546875" style="13" customWidth="1"/>
    <col min="53" max="58" width="5" style="13" customWidth="1"/>
    <col min="59" max="59" width="14.28515625" style="13" customWidth="1"/>
    <col min="60" max="60" width="5" style="13" customWidth="1"/>
    <col min="61" max="61" width="3.85546875" style="13" customWidth="1"/>
    <col min="62" max="67" width="5" style="13" customWidth="1"/>
    <col min="68" max="68" width="14.28515625" style="13" customWidth="1"/>
    <col min="69" max="69" width="5" style="13" customWidth="1"/>
    <col min="70" max="70" width="3.85546875" style="13" customWidth="1"/>
    <col min="71" max="76" width="4.85546875" style="13" customWidth="1"/>
    <col min="77" max="77" width="14.28515625" style="13" customWidth="1"/>
    <col min="78" max="78" width="5" style="13" customWidth="1"/>
    <col min="79" max="79" width="6.140625" style="13" customWidth="1"/>
    <col min="80" max="80" width="10" style="13" customWidth="1"/>
    <col min="81" max="81" width="10.28515625" style="13" customWidth="1"/>
    <col min="82" max="82" width="9.85546875" style="13" customWidth="1"/>
    <col min="83" max="275" width="11.42578125" style="13" customWidth="1"/>
    <col min="276" max="16384" width="8.85546875" style="13"/>
  </cols>
  <sheetData>
    <row r="1" spans="3:85" ht="15" customHeight="1" x14ac:dyDescent="0.25">
      <c r="C1" s="11"/>
      <c r="D1" s="11"/>
      <c r="E1" s="11"/>
      <c r="F1" s="11"/>
      <c r="G1" s="11"/>
      <c r="H1" s="71" t="s">
        <v>71</v>
      </c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11"/>
      <c r="CB1" s="11"/>
      <c r="CC1" s="11"/>
      <c r="CD1" s="11"/>
      <c r="CE1" s="11"/>
      <c r="CF1" s="11"/>
      <c r="CG1" s="11"/>
    </row>
    <row r="2" spans="3:85" ht="15" customHeight="1" x14ac:dyDescent="0.25">
      <c r="C2" s="11"/>
      <c r="D2" s="11"/>
      <c r="E2" s="11"/>
      <c r="F2" s="11"/>
      <c r="G2" s="1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11"/>
      <c r="CB2" s="11"/>
      <c r="CC2" s="11"/>
      <c r="CD2" s="11"/>
      <c r="CE2" s="11"/>
      <c r="CF2" s="11"/>
      <c r="CG2" s="11"/>
    </row>
    <row r="3" spans="3:85" ht="15" customHeight="1" x14ac:dyDescent="0.25">
      <c r="C3" s="11"/>
      <c r="D3" s="11"/>
      <c r="E3" s="11"/>
      <c r="F3" s="11"/>
      <c r="G3" s="1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11"/>
      <c r="CB3" s="11"/>
      <c r="CC3" s="11"/>
      <c r="CD3" s="11"/>
      <c r="CE3" s="11"/>
      <c r="CF3" s="11"/>
      <c r="CG3" s="11"/>
    </row>
    <row r="4" spans="3:85" ht="15" customHeight="1" x14ac:dyDescent="0.25">
      <c r="C4" s="12"/>
      <c r="D4" s="12"/>
      <c r="E4" s="12"/>
      <c r="F4" s="12"/>
      <c r="G4" s="12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12"/>
      <c r="CB4" s="12"/>
      <c r="CC4" s="12"/>
      <c r="CD4" s="12"/>
      <c r="CE4" s="12"/>
      <c r="CF4" s="12"/>
      <c r="CG4" s="12"/>
    </row>
    <row r="5" spans="3:85" ht="15" customHeight="1" thickBot="1" x14ac:dyDescent="0.3"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</row>
    <row r="6" spans="3:85" x14ac:dyDescent="0.25">
      <c r="I6" s="72" t="s">
        <v>60</v>
      </c>
      <c r="J6" s="73"/>
      <c r="K6" s="73"/>
      <c r="L6" s="73"/>
      <c r="M6" s="73"/>
      <c r="N6" s="74"/>
      <c r="R6" s="72" t="s">
        <v>61</v>
      </c>
      <c r="S6" s="73"/>
      <c r="T6" s="73"/>
      <c r="U6" s="73"/>
      <c r="V6" s="73"/>
      <c r="W6" s="74"/>
      <c r="AA6" s="72" t="s">
        <v>62</v>
      </c>
      <c r="AB6" s="73"/>
      <c r="AC6" s="73"/>
      <c r="AD6" s="73"/>
      <c r="AE6" s="73"/>
      <c r="AF6" s="74"/>
      <c r="AJ6" s="72" t="s">
        <v>63</v>
      </c>
      <c r="AK6" s="73"/>
      <c r="AL6" s="73"/>
      <c r="AM6" s="73"/>
      <c r="AN6" s="73"/>
      <c r="AO6" s="74"/>
      <c r="AS6" s="72" t="s">
        <v>64</v>
      </c>
      <c r="AT6" s="73"/>
      <c r="AU6" s="73"/>
      <c r="AV6" s="73"/>
      <c r="AW6" s="73"/>
      <c r="AX6" s="74"/>
      <c r="BB6" s="72" t="s">
        <v>65</v>
      </c>
      <c r="BC6" s="73"/>
      <c r="BD6" s="73"/>
      <c r="BE6" s="73"/>
      <c r="BF6" s="73"/>
      <c r="BG6" s="74"/>
      <c r="BK6" s="72" t="s">
        <v>66</v>
      </c>
      <c r="BL6" s="73"/>
      <c r="BM6" s="73"/>
      <c r="BN6" s="73"/>
      <c r="BO6" s="73"/>
      <c r="BP6" s="74"/>
      <c r="BT6" s="72" t="s">
        <v>67</v>
      </c>
      <c r="BU6" s="73"/>
      <c r="BV6" s="73"/>
      <c r="BW6" s="73"/>
      <c r="BX6" s="73"/>
      <c r="BY6" s="74"/>
    </row>
    <row r="7" spans="3:85" ht="15.75" thickBot="1" x14ac:dyDescent="0.3">
      <c r="H7" s="23"/>
      <c r="I7" s="75"/>
      <c r="J7" s="76"/>
      <c r="K7" s="76"/>
      <c r="L7" s="76"/>
      <c r="M7" s="76"/>
      <c r="N7" s="77"/>
      <c r="O7" s="23"/>
      <c r="P7" s="23"/>
      <c r="Q7" s="23"/>
      <c r="R7" s="75"/>
      <c r="S7" s="76"/>
      <c r="T7" s="76"/>
      <c r="U7" s="76"/>
      <c r="V7" s="76"/>
      <c r="W7" s="77"/>
      <c r="X7" s="23"/>
      <c r="Y7" s="23"/>
      <c r="Z7" s="23"/>
      <c r="AA7" s="75"/>
      <c r="AB7" s="76"/>
      <c r="AC7" s="76"/>
      <c r="AD7" s="76"/>
      <c r="AE7" s="76"/>
      <c r="AF7" s="77"/>
      <c r="AG7" s="23"/>
      <c r="AH7" s="23"/>
      <c r="AI7" s="23"/>
      <c r="AJ7" s="75"/>
      <c r="AK7" s="76"/>
      <c r="AL7" s="76"/>
      <c r="AM7" s="76"/>
      <c r="AN7" s="76"/>
      <c r="AO7" s="77"/>
      <c r="AP7" s="23"/>
      <c r="AQ7" s="23"/>
      <c r="AR7" s="23"/>
      <c r="AS7" s="75"/>
      <c r="AT7" s="76"/>
      <c r="AU7" s="76"/>
      <c r="AV7" s="76"/>
      <c r="AW7" s="76"/>
      <c r="AX7" s="77"/>
      <c r="AY7" s="23"/>
      <c r="AZ7" s="23"/>
      <c r="BA7" s="23"/>
      <c r="BB7" s="75"/>
      <c r="BC7" s="76"/>
      <c r="BD7" s="76"/>
      <c r="BE7" s="76"/>
      <c r="BF7" s="76"/>
      <c r="BG7" s="77"/>
      <c r="BH7" s="23"/>
      <c r="BI7" s="23"/>
      <c r="BJ7" s="23"/>
      <c r="BK7" s="75"/>
      <c r="BL7" s="76"/>
      <c r="BM7" s="76"/>
      <c r="BN7" s="76"/>
      <c r="BO7" s="76"/>
      <c r="BP7" s="77"/>
      <c r="BQ7" s="23"/>
      <c r="BR7" s="23"/>
      <c r="BS7" s="23"/>
      <c r="BT7" s="75"/>
      <c r="BU7" s="76"/>
      <c r="BV7" s="76"/>
      <c r="BW7" s="76"/>
      <c r="BX7" s="76"/>
      <c r="BY7" s="77"/>
      <c r="BZ7" s="23"/>
      <c r="CA7" s="23"/>
    </row>
    <row r="8" spans="3:85" ht="15.75" thickBot="1" x14ac:dyDescent="0.3">
      <c r="H8" s="23"/>
      <c r="I8" s="23"/>
      <c r="J8" s="23"/>
      <c r="O8" s="23"/>
      <c r="P8" s="23"/>
      <c r="Q8" s="23"/>
      <c r="R8" s="23"/>
      <c r="S8" s="23"/>
      <c r="X8" s="23"/>
      <c r="Y8" s="23"/>
      <c r="Z8" s="23"/>
      <c r="AA8" s="23"/>
      <c r="AB8" s="23"/>
      <c r="AG8" s="23"/>
      <c r="AH8" s="23"/>
      <c r="AI8" s="23"/>
      <c r="AJ8" s="23"/>
      <c r="AK8" s="23"/>
      <c r="AP8" s="23"/>
      <c r="AQ8" s="23"/>
      <c r="AR8" s="23"/>
      <c r="AS8" s="23"/>
      <c r="AT8" s="23"/>
      <c r="AY8" s="23"/>
      <c r="AZ8" s="23"/>
      <c r="BA8" s="23"/>
      <c r="BB8" s="23"/>
      <c r="BC8" s="23"/>
      <c r="BH8" s="23"/>
      <c r="BI8" s="23"/>
      <c r="BJ8" s="23"/>
      <c r="BK8" s="23"/>
      <c r="BL8" s="23"/>
      <c r="BQ8" s="23"/>
      <c r="BR8" s="23"/>
    </row>
    <row r="9" spans="3:85" ht="15" customHeight="1" x14ac:dyDescent="0.25">
      <c r="C9" s="51" t="s">
        <v>17</v>
      </c>
      <c r="D9" s="51"/>
      <c r="E9" s="51"/>
      <c r="F9" s="51"/>
      <c r="H9" s="39"/>
      <c r="I9" s="40"/>
      <c r="J9" s="40"/>
      <c r="K9" s="40"/>
      <c r="L9" s="40"/>
      <c r="M9" s="40"/>
      <c r="N9" s="40"/>
      <c r="O9" s="41"/>
      <c r="Q9" s="39"/>
      <c r="R9" s="40"/>
      <c r="S9" s="40"/>
      <c r="T9" s="40"/>
      <c r="U9" s="40"/>
      <c r="V9" s="40"/>
      <c r="W9" s="40"/>
      <c r="X9" s="41"/>
      <c r="Z9" s="39"/>
      <c r="AA9" s="40"/>
      <c r="AB9" s="40"/>
      <c r="AC9" s="40"/>
      <c r="AD9" s="40"/>
      <c r="AE9" s="40"/>
      <c r="AF9" s="40"/>
      <c r="AG9" s="41"/>
      <c r="AI9" s="39"/>
      <c r="AJ9" s="40"/>
      <c r="AK9" s="40"/>
      <c r="AL9" s="40"/>
      <c r="AM9" s="40"/>
      <c r="AN9" s="40"/>
      <c r="AO9" s="40"/>
      <c r="AP9" s="41"/>
      <c r="AR9" s="39"/>
      <c r="AS9" s="40"/>
      <c r="AT9" s="40"/>
      <c r="AU9" s="40"/>
      <c r="AV9" s="40"/>
      <c r="AW9" s="40"/>
      <c r="AX9" s="40"/>
      <c r="AY9" s="41"/>
      <c r="BA9" s="39"/>
      <c r="BB9" s="40"/>
      <c r="BC9" s="40"/>
      <c r="BD9" s="40"/>
      <c r="BE9" s="40"/>
      <c r="BF9" s="40"/>
      <c r="BG9" s="40"/>
      <c r="BH9" s="41"/>
      <c r="BJ9" s="45"/>
      <c r="BK9" s="46"/>
      <c r="BL9" s="46"/>
      <c r="BM9" s="46"/>
      <c r="BN9" s="46"/>
      <c r="BO9" s="46"/>
      <c r="BP9" s="46"/>
      <c r="BQ9" s="47"/>
      <c r="BS9" s="45"/>
      <c r="BT9" s="46"/>
      <c r="BU9" s="46"/>
      <c r="BV9" s="46"/>
      <c r="BW9" s="46"/>
      <c r="BX9" s="46"/>
      <c r="BY9" s="46"/>
      <c r="BZ9" s="47"/>
      <c r="CB9" s="59" t="s">
        <v>49</v>
      </c>
      <c r="CC9" s="60"/>
      <c r="CD9" s="60"/>
      <c r="CE9" s="60"/>
      <c r="CF9" s="60"/>
      <c r="CG9" s="61"/>
    </row>
    <row r="10" spans="3:85" ht="15" customHeight="1" x14ac:dyDescent="0.25">
      <c r="C10" s="51"/>
      <c r="D10" s="51"/>
      <c r="E10" s="51"/>
      <c r="F10" s="51"/>
      <c r="H10" s="42"/>
      <c r="I10" s="43"/>
      <c r="J10" s="43"/>
      <c r="K10" s="43"/>
      <c r="L10" s="43"/>
      <c r="M10" s="43"/>
      <c r="N10" s="43"/>
      <c r="O10" s="44"/>
      <c r="Q10" s="42"/>
      <c r="R10" s="43"/>
      <c r="S10" s="43"/>
      <c r="T10" s="43"/>
      <c r="U10" s="43"/>
      <c r="V10" s="43"/>
      <c r="W10" s="43"/>
      <c r="X10" s="44"/>
      <c r="Z10" s="42"/>
      <c r="AA10" s="43"/>
      <c r="AB10" s="43"/>
      <c r="AC10" s="43"/>
      <c r="AD10" s="43"/>
      <c r="AE10" s="43"/>
      <c r="AF10" s="43"/>
      <c r="AG10" s="44"/>
      <c r="AI10" s="42"/>
      <c r="AJ10" s="43"/>
      <c r="AK10" s="43"/>
      <c r="AL10" s="43"/>
      <c r="AM10" s="43"/>
      <c r="AN10" s="43"/>
      <c r="AO10" s="43"/>
      <c r="AP10" s="44"/>
      <c r="AR10" s="42"/>
      <c r="AS10" s="43"/>
      <c r="AT10" s="43"/>
      <c r="AU10" s="43"/>
      <c r="AV10" s="43"/>
      <c r="AW10" s="43"/>
      <c r="AX10" s="43"/>
      <c r="AY10" s="44"/>
      <c r="BA10" s="42"/>
      <c r="BB10" s="43"/>
      <c r="BC10" s="43"/>
      <c r="BD10" s="43"/>
      <c r="BE10" s="43"/>
      <c r="BF10" s="43"/>
      <c r="BG10" s="43"/>
      <c r="BH10" s="44"/>
      <c r="BJ10" s="48"/>
      <c r="BK10" s="49"/>
      <c r="BL10" s="49"/>
      <c r="BM10" s="49"/>
      <c r="BN10" s="49"/>
      <c r="BO10" s="49"/>
      <c r="BP10" s="49"/>
      <c r="BQ10" s="50"/>
      <c r="BS10" s="48"/>
      <c r="BT10" s="49"/>
      <c r="BU10" s="49"/>
      <c r="BV10" s="49"/>
      <c r="BW10" s="49"/>
      <c r="BX10" s="49"/>
      <c r="BY10" s="49"/>
      <c r="BZ10" s="50"/>
      <c r="CB10" s="16" t="s">
        <v>18</v>
      </c>
      <c r="CC10" s="14">
        <f t="array" aca="1" ref="CC10" ca="1">SUM(IF(ISNUMBER(SEARCH("Asignatura", $I$6:OFFSET(CC$6,0,-1))), I11:OFFSET(CC11,0,-1), 0))*16</f>
        <v>0</v>
      </c>
      <c r="CD10" s="17" t="s">
        <v>19</v>
      </c>
      <c r="CE10" s="14">
        <f t="array" aca="1" ref="CE10" ca="1">SUM(IF(ISNUMBER(SEARCH("Asignatura", $I$6:OFFSET(CE$6,0,-1))), K11:OFFSET(CE11,0,-1), 0))*16</f>
        <v>0</v>
      </c>
      <c r="CF10" s="17" t="s">
        <v>20</v>
      </c>
      <c r="CG10" s="15">
        <f t="array" aca="1" ref="CG10" ca="1">SUM(IF(ISNUMBER(SEARCH("Asignatura", $I$6:OFFSET(CG$6,0,-1))), M11:OFFSET(CG11,0,-1), 0))*16</f>
        <v>0</v>
      </c>
    </row>
    <row r="11" spans="3:85" ht="15.75" thickBot="1" x14ac:dyDescent="0.3">
      <c r="H11" s="24" t="s">
        <v>18</v>
      </c>
      <c r="I11" s="25"/>
      <c r="J11" s="26" t="s">
        <v>19</v>
      </c>
      <c r="K11" s="25"/>
      <c r="L11" s="26" t="s">
        <v>20</v>
      </c>
      <c r="M11" s="25"/>
      <c r="N11" s="26" t="s">
        <v>50</v>
      </c>
      <c r="O11" s="27">
        <f>SUM(I11+K11+M11)*16</f>
        <v>0</v>
      </c>
      <c r="Q11" s="24" t="s">
        <v>18</v>
      </c>
      <c r="R11" s="25"/>
      <c r="S11" s="26" t="s">
        <v>19</v>
      </c>
      <c r="T11" s="25"/>
      <c r="U11" s="26" t="s">
        <v>20</v>
      </c>
      <c r="V11" s="25"/>
      <c r="W11" s="26" t="s">
        <v>50</v>
      </c>
      <c r="X11" s="27">
        <f>SUM(R11+T11+V11)*16</f>
        <v>0</v>
      </c>
      <c r="Z11" s="24" t="s">
        <v>18</v>
      </c>
      <c r="AA11" s="25"/>
      <c r="AB11" s="26" t="s">
        <v>19</v>
      </c>
      <c r="AC11" s="25"/>
      <c r="AD11" s="26" t="s">
        <v>20</v>
      </c>
      <c r="AE11" s="25"/>
      <c r="AF11" s="26" t="s">
        <v>50</v>
      </c>
      <c r="AG11" s="27">
        <f>SUM(AA11+AC11+AE11)*16</f>
        <v>0</v>
      </c>
      <c r="AI11" s="24" t="s">
        <v>18</v>
      </c>
      <c r="AJ11" s="25"/>
      <c r="AK11" s="26" t="s">
        <v>19</v>
      </c>
      <c r="AL11" s="25"/>
      <c r="AM11" s="26" t="s">
        <v>20</v>
      </c>
      <c r="AN11" s="25"/>
      <c r="AO11" s="26" t="s">
        <v>50</v>
      </c>
      <c r="AP11" s="27">
        <f>SUM(AJ11+AL11+AN11)*16</f>
        <v>0</v>
      </c>
      <c r="AR11" s="24" t="s">
        <v>18</v>
      </c>
      <c r="AS11" s="25"/>
      <c r="AT11" s="26" t="s">
        <v>19</v>
      </c>
      <c r="AU11" s="25"/>
      <c r="AV11" s="26" t="s">
        <v>20</v>
      </c>
      <c r="AW11" s="25"/>
      <c r="AX11" s="26" t="s">
        <v>50</v>
      </c>
      <c r="AY11" s="27">
        <f>SUM(AS11+AU11+AW11)*16</f>
        <v>0</v>
      </c>
      <c r="BA11" s="24" t="s">
        <v>18</v>
      </c>
      <c r="BB11" s="25"/>
      <c r="BC11" s="26" t="s">
        <v>19</v>
      </c>
      <c r="BD11" s="25"/>
      <c r="BE11" s="26" t="s">
        <v>20</v>
      </c>
      <c r="BF11" s="25"/>
      <c r="BG11" s="26" t="s">
        <v>50</v>
      </c>
      <c r="BH11" s="27">
        <f>SUM(BB11+BD11+BF11)*16</f>
        <v>0</v>
      </c>
      <c r="BJ11" s="24" t="s">
        <v>18</v>
      </c>
      <c r="BK11" s="25"/>
      <c r="BL11" s="26" t="s">
        <v>19</v>
      </c>
      <c r="BM11" s="25"/>
      <c r="BN11" s="26" t="s">
        <v>20</v>
      </c>
      <c r="BO11" s="25"/>
      <c r="BP11" s="26" t="s">
        <v>50</v>
      </c>
      <c r="BQ11" s="27">
        <f>SUM(BK11+BM11+BO11)*16</f>
        <v>0</v>
      </c>
      <c r="BS11" s="24" t="s">
        <v>18</v>
      </c>
      <c r="BT11" s="25"/>
      <c r="BU11" s="26" t="s">
        <v>19</v>
      </c>
      <c r="BV11" s="25"/>
      <c r="BW11" s="26" t="s">
        <v>20</v>
      </c>
      <c r="BX11" s="25"/>
      <c r="BY11" s="26" t="s">
        <v>50</v>
      </c>
      <c r="BZ11" s="27">
        <f>SUM(BT11+BV11+BX11)*16</f>
        <v>0</v>
      </c>
      <c r="CB11" s="56" t="s">
        <v>40</v>
      </c>
      <c r="CC11" s="51"/>
      <c r="CD11" s="51"/>
      <c r="CE11" s="51">
        <f ca="1">CE12*3*16</f>
        <v>0</v>
      </c>
      <c r="CF11" s="51"/>
      <c r="CG11" s="52"/>
    </row>
    <row r="12" spans="3:85" ht="15.75" thickBot="1" x14ac:dyDescent="0.3">
      <c r="N12" s="28" t="s">
        <v>51</v>
      </c>
      <c r="O12" s="19">
        <f>(I11+K11+M11)/3</f>
        <v>0</v>
      </c>
      <c r="W12" s="28" t="s">
        <v>51</v>
      </c>
      <c r="X12" s="19">
        <f>(R11+T11+V11)/3</f>
        <v>0</v>
      </c>
      <c r="AF12" s="28" t="s">
        <v>51</v>
      </c>
      <c r="AG12" s="19">
        <f>(AA11+AC11+AE11)/3</f>
        <v>0</v>
      </c>
      <c r="AO12" s="28" t="s">
        <v>51</v>
      </c>
      <c r="AP12" s="19">
        <f>(AJ11+AL11+AN11)/3</f>
        <v>0</v>
      </c>
      <c r="AX12" s="28" t="s">
        <v>51</v>
      </c>
      <c r="AY12" s="19">
        <f>(AS11+AU11+AW11)/3</f>
        <v>0</v>
      </c>
      <c r="BG12" s="28" t="s">
        <v>51</v>
      </c>
      <c r="BH12" s="19">
        <f>(BB11+BD11+BF11)/3</f>
        <v>0</v>
      </c>
      <c r="BP12" s="28" t="s">
        <v>51</v>
      </c>
      <c r="BQ12" s="19">
        <f>(BK11+BM11+BO11)/3</f>
        <v>0</v>
      </c>
      <c r="BY12" s="28" t="s">
        <v>51</v>
      </c>
      <c r="BZ12" s="19">
        <f>(BT11+BV11+BX11)/3</f>
        <v>0</v>
      </c>
      <c r="CB12" s="53" t="s">
        <v>21</v>
      </c>
      <c r="CC12" s="54"/>
      <c r="CD12" s="54"/>
      <c r="CE12" s="54">
        <f ca="1">SUM(IF(MOD(COLUMN(O12:OFFSET(CE12,0,-1)) - COLUMN(O12), 9) = 0, O12:OFFSET(CE12,0,-1), 0))</f>
        <v>0</v>
      </c>
      <c r="CF12" s="54"/>
      <c r="CG12" s="55"/>
    </row>
    <row r="13" spans="3:85" ht="15.75" thickBot="1" x14ac:dyDescent="0.3"/>
    <row r="14" spans="3:85" ht="15" customHeight="1" x14ac:dyDescent="0.25">
      <c r="C14" s="51" t="s">
        <v>22</v>
      </c>
      <c r="D14" s="51"/>
      <c r="E14" s="51"/>
      <c r="F14" s="51"/>
      <c r="H14" s="39"/>
      <c r="I14" s="40"/>
      <c r="J14" s="40"/>
      <c r="K14" s="40"/>
      <c r="L14" s="40"/>
      <c r="M14" s="40"/>
      <c r="N14" s="40"/>
      <c r="O14" s="41"/>
      <c r="Q14" s="39"/>
      <c r="R14" s="40"/>
      <c r="S14" s="40"/>
      <c r="T14" s="40"/>
      <c r="U14" s="40"/>
      <c r="V14" s="40"/>
      <c r="W14" s="40"/>
      <c r="X14" s="41"/>
      <c r="Z14" s="39"/>
      <c r="AA14" s="40"/>
      <c r="AB14" s="40"/>
      <c r="AC14" s="40"/>
      <c r="AD14" s="40"/>
      <c r="AE14" s="40"/>
      <c r="AF14" s="40"/>
      <c r="AG14" s="41"/>
      <c r="AI14" s="39"/>
      <c r="AJ14" s="40"/>
      <c r="AK14" s="40"/>
      <c r="AL14" s="40"/>
      <c r="AM14" s="40"/>
      <c r="AN14" s="40"/>
      <c r="AO14" s="40"/>
      <c r="AP14" s="41"/>
      <c r="AR14" s="39"/>
      <c r="AS14" s="40"/>
      <c r="AT14" s="40"/>
      <c r="AU14" s="40"/>
      <c r="AV14" s="40"/>
      <c r="AW14" s="40"/>
      <c r="AX14" s="40"/>
      <c r="AY14" s="41"/>
      <c r="BA14" s="39"/>
      <c r="BB14" s="40"/>
      <c r="BC14" s="40"/>
      <c r="BD14" s="40"/>
      <c r="BE14" s="40"/>
      <c r="BF14" s="40"/>
      <c r="BG14" s="40"/>
      <c r="BH14" s="41"/>
      <c r="BJ14" s="45"/>
      <c r="BK14" s="46"/>
      <c r="BL14" s="46"/>
      <c r="BM14" s="46"/>
      <c r="BN14" s="46"/>
      <c r="BO14" s="46"/>
      <c r="BP14" s="46"/>
      <c r="BQ14" s="47"/>
      <c r="BS14" s="45"/>
      <c r="BT14" s="46"/>
      <c r="BU14" s="46"/>
      <c r="BV14" s="46"/>
      <c r="BW14" s="46"/>
      <c r="BX14" s="46"/>
      <c r="BY14" s="46"/>
      <c r="BZ14" s="47"/>
      <c r="CB14" s="62" t="s">
        <v>52</v>
      </c>
      <c r="CC14" s="63"/>
      <c r="CD14" s="63"/>
      <c r="CE14" s="63"/>
      <c r="CF14" s="63"/>
      <c r="CG14" s="64"/>
    </row>
    <row r="15" spans="3:85" x14ac:dyDescent="0.25">
      <c r="C15" s="51"/>
      <c r="D15" s="51"/>
      <c r="E15" s="51"/>
      <c r="F15" s="51"/>
      <c r="H15" s="42"/>
      <c r="I15" s="43"/>
      <c r="J15" s="43"/>
      <c r="K15" s="43"/>
      <c r="L15" s="43"/>
      <c r="M15" s="43"/>
      <c r="N15" s="43"/>
      <c r="O15" s="44"/>
      <c r="Q15" s="42"/>
      <c r="R15" s="43"/>
      <c r="S15" s="43"/>
      <c r="T15" s="43"/>
      <c r="U15" s="43"/>
      <c r="V15" s="43"/>
      <c r="W15" s="43"/>
      <c r="X15" s="44"/>
      <c r="Z15" s="42"/>
      <c r="AA15" s="43"/>
      <c r="AB15" s="43"/>
      <c r="AC15" s="43"/>
      <c r="AD15" s="43"/>
      <c r="AE15" s="43"/>
      <c r="AF15" s="43"/>
      <c r="AG15" s="44"/>
      <c r="AI15" s="42"/>
      <c r="AJ15" s="43"/>
      <c r="AK15" s="43"/>
      <c r="AL15" s="43"/>
      <c r="AM15" s="43"/>
      <c r="AN15" s="43"/>
      <c r="AO15" s="43"/>
      <c r="AP15" s="44"/>
      <c r="AR15" s="42"/>
      <c r="AS15" s="43"/>
      <c r="AT15" s="43"/>
      <c r="AU15" s="43"/>
      <c r="AV15" s="43"/>
      <c r="AW15" s="43"/>
      <c r="AX15" s="43"/>
      <c r="AY15" s="44"/>
      <c r="BA15" s="42"/>
      <c r="BB15" s="43"/>
      <c r="BC15" s="43"/>
      <c r="BD15" s="43"/>
      <c r="BE15" s="43"/>
      <c r="BF15" s="43"/>
      <c r="BG15" s="43"/>
      <c r="BH15" s="44"/>
      <c r="BJ15" s="48"/>
      <c r="BK15" s="49"/>
      <c r="BL15" s="49"/>
      <c r="BM15" s="49"/>
      <c r="BN15" s="49"/>
      <c r="BO15" s="49"/>
      <c r="BP15" s="49"/>
      <c r="BQ15" s="50"/>
      <c r="BS15" s="48"/>
      <c r="BT15" s="49"/>
      <c r="BU15" s="49"/>
      <c r="BV15" s="49"/>
      <c r="BW15" s="49"/>
      <c r="BX15" s="49"/>
      <c r="BY15" s="49"/>
      <c r="BZ15" s="50"/>
      <c r="CB15" s="16" t="s">
        <v>18</v>
      </c>
      <c r="CC15" s="14">
        <f t="array" aca="1" ref="CC15" ca="1">SUM(IF(ISNUMBER(SEARCH("Asignatura", $I$6:OFFSET(CC$6,0,-1))), I16:OFFSET(CC16,0,-1), 0))*16</f>
        <v>0</v>
      </c>
      <c r="CD15" s="17" t="s">
        <v>19</v>
      </c>
      <c r="CE15" s="14">
        <f t="array" aca="1" ref="CE15" ca="1">SUM(IF(ISNUMBER(SEARCH("Asignatura", $I$6:OFFSET(CE$6,0,-1))), K16:OFFSET(CE16,0,-1), 0))*16</f>
        <v>0</v>
      </c>
      <c r="CF15" s="17" t="s">
        <v>20</v>
      </c>
      <c r="CG15" s="15">
        <f t="array" aca="1" ref="CG15" ca="1">SUM(IF(ISNUMBER(SEARCH("Asignatura", $I$6:OFFSET(CG$6,0,-1))), M16:OFFSET(CG16,0,-1), 0))*16</f>
        <v>0</v>
      </c>
    </row>
    <row r="16" spans="3:85" ht="15.75" thickBot="1" x14ac:dyDescent="0.3">
      <c r="H16" s="24" t="s">
        <v>18</v>
      </c>
      <c r="I16" s="25"/>
      <c r="J16" s="26" t="s">
        <v>19</v>
      </c>
      <c r="K16" s="25"/>
      <c r="L16" s="26" t="s">
        <v>20</v>
      </c>
      <c r="M16" s="25"/>
      <c r="N16" s="26" t="s">
        <v>50</v>
      </c>
      <c r="O16" s="27">
        <f>SUM(I16+K16+M16)*16</f>
        <v>0</v>
      </c>
      <c r="Q16" s="24" t="s">
        <v>18</v>
      </c>
      <c r="R16" s="25"/>
      <c r="S16" s="26" t="s">
        <v>19</v>
      </c>
      <c r="T16" s="25"/>
      <c r="U16" s="26" t="s">
        <v>20</v>
      </c>
      <c r="V16" s="25"/>
      <c r="W16" s="26" t="s">
        <v>50</v>
      </c>
      <c r="X16" s="27">
        <f>SUM(R16+T16+V16)*16</f>
        <v>0</v>
      </c>
      <c r="Z16" s="24" t="s">
        <v>18</v>
      </c>
      <c r="AA16" s="25"/>
      <c r="AB16" s="26" t="s">
        <v>19</v>
      </c>
      <c r="AC16" s="25"/>
      <c r="AD16" s="26" t="s">
        <v>20</v>
      </c>
      <c r="AE16" s="25"/>
      <c r="AF16" s="26" t="s">
        <v>50</v>
      </c>
      <c r="AG16" s="27">
        <f>SUM(AA16+AC16+AE16)*16</f>
        <v>0</v>
      </c>
      <c r="AI16" s="24" t="s">
        <v>18</v>
      </c>
      <c r="AJ16" s="25"/>
      <c r="AK16" s="26" t="s">
        <v>19</v>
      </c>
      <c r="AL16" s="25"/>
      <c r="AM16" s="26" t="s">
        <v>20</v>
      </c>
      <c r="AN16" s="25"/>
      <c r="AO16" s="26" t="s">
        <v>50</v>
      </c>
      <c r="AP16" s="27">
        <f>SUM(AJ16+AL16+AN16)*16</f>
        <v>0</v>
      </c>
      <c r="AR16" s="24" t="s">
        <v>18</v>
      </c>
      <c r="AS16" s="25"/>
      <c r="AT16" s="26" t="s">
        <v>19</v>
      </c>
      <c r="AU16" s="25"/>
      <c r="AV16" s="26" t="s">
        <v>20</v>
      </c>
      <c r="AW16" s="25"/>
      <c r="AX16" s="26" t="s">
        <v>50</v>
      </c>
      <c r="AY16" s="27">
        <f>SUM(AS16+AU16+AW16)*16</f>
        <v>0</v>
      </c>
      <c r="BA16" s="24" t="s">
        <v>18</v>
      </c>
      <c r="BB16" s="25"/>
      <c r="BC16" s="26" t="s">
        <v>19</v>
      </c>
      <c r="BD16" s="25"/>
      <c r="BE16" s="26" t="s">
        <v>20</v>
      </c>
      <c r="BF16" s="25"/>
      <c r="BG16" s="26" t="s">
        <v>50</v>
      </c>
      <c r="BH16" s="27">
        <f>SUM(BB16+BD16+BF16)*16</f>
        <v>0</v>
      </c>
      <c r="BJ16" s="24" t="s">
        <v>18</v>
      </c>
      <c r="BK16" s="25"/>
      <c r="BL16" s="26" t="s">
        <v>19</v>
      </c>
      <c r="BM16" s="25"/>
      <c r="BN16" s="26" t="s">
        <v>20</v>
      </c>
      <c r="BO16" s="25"/>
      <c r="BP16" s="26" t="s">
        <v>50</v>
      </c>
      <c r="BQ16" s="27">
        <f>SUM(BK16+BM16+BO16)*16</f>
        <v>0</v>
      </c>
      <c r="BS16" s="24" t="s">
        <v>18</v>
      </c>
      <c r="BT16" s="25"/>
      <c r="BU16" s="26" t="s">
        <v>19</v>
      </c>
      <c r="BV16" s="25"/>
      <c r="BW16" s="26" t="s">
        <v>20</v>
      </c>
      <c r="BX16" s="25"/>
      <c r="BY16" s="26" t="s">
        <v>50</v>
      </c>
      <c r="BZ16" s="27">
        <f>SUM(BT16+BV16+BX16)*16</f>
        <v>0</v>
      </c>
      <c r="CB16" s="65" t="s">
        <v>40</v>
      </c>
      <c r="CC16" s="51"/>
      <c r="CD16" s="51"/>
      <c r="CE16" s="51">
        <f ca="1">CE17*3*16</f>
        <v>0</v>
      </c>
      <c r="CF16" s="51"/>
      <c r="CG16" s="68"/>
    </row>
    <row r="17" spans="3:85" ht="15.75" thickBot="1" x14ac:dyDescent="0.3">
      <c r="N17" s="28" t="s">
        <v>51</v>
      </c>
      <c r="O17" s="19">
        <f>(I16+K16+M16)/3</f>
        <v>0</v>
      </c>
      <c r="W17" s="28" t="s">
        <v>51</v>
      </c>
      <c r="X17" s="19">
        <f>(R16+T16+V16)/3</f>
        <v>0</v>
      </c>
      <c r="AF17" s="28" t="s">
        <v>51</v>
      </c>
      <c r="AG17" s="19">
        <f>(AA16+AC16+AE16)/3</f>
        <v>0</v>
      </c>
      <c r="AO17" s="28" t="s">
        <v>51</v>
      </c>
      <c r="AP17" s="19">
        <f>(AJ16+AL16+AN16)/3</f>
        <v>0</v>
      </c>
      <c r="AX17" s="28" t="s">
        <v>51</v>
      </c>
      <c r="AY17" s="19">
        <f>(AS16+AU16+AW16)/3</f>
        <v>0</v>
      </c>
      <c r="BG17" s="28" t="s">
        <v>51</v>
      </c>
      <c r="BH17" s="19">
        <f>(BB16+BD16+BF16)/3</f>
        <v>0</v>
      </c>
      <c r="BP17" s="28" t="s">
        <v>51</v>
      </c>
      <c r="BQ17" s="19">
        <f>(BK16+BM16+BO16)/3</f>
        <v>0</v>
      </c>
      <c r="BY17" s="28" t="s">
        <v>51</v>
      </c>
      <c r="BZ17" s="19">
        <f>(BT16+BV16+BX16)/3</f>
        <v>0</v>
      </c>
      <c r="CB17" s="66" t="s">
        <v>21</v>
      </c>
      <c r="CC17" s="67"/>
      <c r="CD17" s="67"/>
      <c r="CE17" s="54">
        <f ca="1">SUM(IF(MOD(COLUMN(O17:OFFSET(CE17,0,-1)) - COLUMN(O17), 9) = 0, O17:OFFSET(CE17,0,-1), 0))</f>
        <v>0</v>
      </c>
      <c r="CF17" s="54"/>
      <c r="CG17" s="55"/>
    </row>
    <row r="18" spans="3:85" ht="15.75" thickBot="1" x14ac:dyDescent="0.3"/>
    <row r="19" spans="3:85" ht="15" customHeight="1" x14ac:dyDescent="0.25">
      <c r="C19" s="51" t="s">
        <v>23</v>
      </c>
      <c r="D19" s="51"/>
      <c r="E19" s="51"/>
      <c r="F19" s="51"/>
      <c r="H19" s="39"/>
      <c r="I19" s="40"/>
      <c r="J19" s="40"/>
      <c r="K19" s="40"/>
      <c r="L19" s="40"/>
      <c r="M19" s="40"/>
      <c r="N19" s="40"/>
      <c r="O19" s="41"/>
      <c r="Q19" s="39"/>
      <c r="R19" s="40"/>
      <c r="S19" s="40"/>
      <c r="T19" s="40"/>
      <c r="U19" s="40"/>
      <c r="V19" s="40"/>
      <c r="W19" s="40"/>
      <c r="X19" s="41"/>
      <c r="Z19" s="39"/>
      <c r="AA19" s="40"/>
      <c r="AB19" s="40"/>
      <c r="AC19" s="40"/>
      <c r="AD19" s="40"/>
      <c r="AE19" s="40"/>
      <c r="AF19" s="40"/>
      <c r="AG19" s="41"/>
      <c r="AI19" s="39"/>
      <c r="AJ19" s="40"/>
      <c r="AK19" s="40"/>
      <c r="AL19" s="40"/>
      <c r="AM19" s="40"/>
      <c r="AN19" s="40"/>
      <c r="AO19" s="40"/>
      <c r="AP19" s="41"/>
      <c r="AR19" s="39"/>
      <c r="AS19" s="40"/>
      <c r="AT19" s="40"/>
      <c r="AU19" s="40"/>
      <c r="AV19" s="40"/>
      <c r="AW19" s="40"/>
      <c r="AX19" s="40"/>
      <c r="AY19" s="41"/>
      <c r="BA19" s="39"/>
      <c r="BB19" s="40"/>
      <c r="BC19" s="40"/>
      <c r="BD19" s="40"/>
      <c r="BE19" s="40"/>
      <c r="BF19" s="40"/>
      <c r="BG19" s="40"/>
      <c r="BH19" s="41"/>
      <c r="BJ19" s="45"/>
      <c r="BK19" s="46"/>
      <c r="BL19" s="46"/>
      <c r="BM19" s="46"/>
      <c r="BN19" s="46"/>
      <c r="BO19" s="46"/>
      <c r="BP19" s="46"/>
      <c r="BQ19" s="47"/>
      <c r="BS19" s="45"/>
      <c r="BT19" s="46"/>
      <c r="BU19" s="46"/>
      <c r="BV19" s="46"/>
      <c r="BW19" s="46"/>
      <c r="BX19" s="46"/>
      <c r="BY19" s="46"/>
      <c r="BZ19" s="47"/>
      <c r="CB19" s="62" t="s">
        <v>53</v>
      </c>
      <c r="CC19" s="63"/>
      <c r="CD19" s="63"/>
      <c r="CE19" s="63"/>
      <c r="CF19" s="63"/>
      <c r="CG19" s="64"/>
    </row>
    <row r="20" spans="3:85" x14ac:dyDescent="0.25">
      <c r="C20" s="51"/>
      <c r="D20" s="51"/>
      <c r="E20" s="51"/>
      <c r="F20" s="51"/>
      <c r="H20" s="42"/>
      <c r="I20" s="43"/>
      <c r="J20" s="43"/>
      <c r="K20" s="43"/>
      <c r="L20" s="43"/>
      <c r="M20" s="43"/>
      <c r="N20" s="43"/>
      <c r="O20" s="44"/>
      <c r="Q20" s="42"/>
      <c r="R20" s="43"/>
      <c r="S20" s="43"/>
      <c r="T20" s="43"/>
      <c r="U20" s="43"/>
      <c r="V20" s="43"/>
      <c r="W20" s="43"/>
      <c r="X20" s="44"/>
      <c r="Z20" s="42"/>
      <c r="AA20" s="43"/>
      <c r="AB20" s="43"/>
      <c r="AC20" s="43"/>
      <c r="AD20" s="43"/>
      <c r="AE20" s="43"/>
      <c r="AF20" s="43"/>
      <c r="AG20" s="44"/>
      <c r="AI20" s="42"/>
      <c r="AJ20" s="43"/>
      <c r="AK20" s="43"/>
      <c r="AL20" s="43"/>
      <c r="AM20" s="43"/>
      <c r="AN20" s="43"/>
      <c r="AO20" s="43"/>
      <c r="AP20" s="44"/>
      <c r="AR20" s="42"/>
      <c r="AS20" s="43"/>
      <c r="AT20" s="43"/>
      <c r="AU20" s="43"/>
      <c r="AV20" s="43"/>
      <c r="AW20" s="43"/>
      <c r="AX20" s="43"/>
      <c r="AY20" s="44"/>
      <c r="BA20" s="42"/>
      <c r="BB20" s="43"/>
      <c r="BC20" s="43"/>
      <c r="BD20" s="43"/>
      <c r="BE20" s="43"/>
      <c r="BF20" s="43"/>
      <c r="BG20" s="43"/>
      <c r="BH20" s="44"/>
      <c r="BJ20" s="48"/>
      <c r="BK20" s="49"/>
      <c r="BL20" s="49"/>
      <c r="BM20" s="49"/>
      <c r="BN20" s="49"/>
      <c r="BO20" s="49"/>
      <c r="BP20" s="49"/>
      <c r="BQ20" s="50"/>
      <c r="BS20" s="48"/>
      <c r="BT20" s="49"/>
      <c r="BU20" s="49"/>
      <c r="BV20" s="49"/>
      <c r="BW20" s="49"/>
      <c r="BX20" s="49"/>
      <c r="BY20" s="49"/>
      <c r="BZ20" s="50"/>
      <c r="CB20" s="16" t="s">
        <v>18</v>
      </c>
      <c r="CC20" s="14">
        <f t="array" aca="1" ref="CC20" ca="1">SUM(IF(ISNUMBER(SEARCH("Asignatura", $I$6:OFFSET(CC$6,0,-1))), I21:OFFSET(CC21,0,-1), 0))*16</f>
        <v>0</v>
      </c>
      <c r="CD20" s="17" t="s">
        <v>19</v>
      </c>
      <c r="CE20" s="14">
        <f t="array" aca="1" ref="CE20" ca="1">SUM(IF(ISNUMBER(SEARCH("Asignatura", $I$6:OFFSET(CE$6,0,-1))), K21:OFFSET(CE21,0,-1), 0))*16</f>
        <v>0</v>
      </c>
      <c r="CF20" s="17" t="s">
        <v>20</v>
      </c>
      <c r="CG20" s="15">
        <f t="array" aca="1" ref="CG20" ca="1">SUM(IF(ISNUMBER(SEARCH("Asignatura", $I$6:OFFSET(CG$6,0,-1))), M21:OFFSET(CG21,0,-1), 0))*16</f>
        <v>0</v>
      </c>
    </row>
    <row r="21" spans="3:85" ht="15.75" thickBot="1" x14ac:dyDescent="0.3">
      <c r="H21" s="24" t="s">
        <v>18</v>
      </c>
      <c r="I21" s="25"/>
      <c r="J21" s="26" t="s">
        <v>19</v>
      </c>
      <c r="K21" s="25"/>
      <c r="L21" s="26" t="s">
        <v>20</v>
      </c>
      <c r="M21" s="25"/>
      <c r="N21" s="26" t="s">
        <v>50</v>
      </c>
      <c r="O21" s="27">
        <f>SUM(I21+K21+M21)*16</f>
        <v>0</v>
      </c>
      <c r="Q21" s="24" t="s">
        <v>18</v>
      </c>
      <c r="R21" s="25"/>
      <c r="S21" s="26" t="s">
        <v>19</v>
      </c>
      <c r="T21" s="25"/>
      <c r="U21" s="26" t="s">
        <v>20</v>
      </c>
      <c r="V21" s="25"/>
      <c r="W21" s="26" t="s">
        <v>50</v>
      </c>
      <c r="X21" s="27">
        <f>SUM(R21+T21+V21)*16</f>
        <v>0</v>
      </c>
      <c r="Z21" s="24" t="s">
        <v>18</v>
      </c>
      <c r="AA21" s="25"/>
      <c r="AB21" s="26" t="s">
        <v>19</v>
      </c>
      <c r="AC21" s="25"/>
      <c r="AD21" s="26" t="s">
        <v>20</v>
      </c>
      <c r="AE21" s="25"/>
      <c r="AF21" s="26" t="s">
        <v>50</v>
      </c>
      <c r="AG21" s="27">
        <f>SUM(AA21+AC21+AE21)*16</f>
        <v>0</v>
      </c>
      <c r="AI21" s="24" t="s">
        <v>18</v>
      </c>
      <c r="AJ21" s="25"/>
      <c r="AK21" s="26" t="s">
        <v>19</v>
      </c>
      <c r="AL21" s="25"/>
      <c r="AM21" s="26" t="s">
        <v>20</v>
      </c>
      <c r="AN21" s="25"/>
      <c r="AO21" s="26" t="s">
        <v>50</v>
      </c>
      <c r="AP21" s="27">
        <f>SUM(AJ21+AL21+AN21)*16</f>
        <v>0</v>
      </c>
      <c r="AR21" s="24" t="s">
        <v>18</v>
      </c>
      <c r="AS21" s="25"/>
      <c r="AT21" s="26" t="s">
        <v>19</v>
      </c>
      <c r="AU21" s="25"/>
      <c r="AV21" s="26" t="s">
        <v>20</v>
      </c>
      <c r="AW21" s="25"/>
      <c r="AX21" s="26" t="s">
        <v>50</v>
      </c>
      <c r="AY21" s="27">
        <f>SUM(AS21+AU21+AW21)*16</f>
        <v>0</v>
      </c>
      <c r="BA21" s="24" t="s">
        <v>18</v>
      </c>
      <c r="BB21" s="25"/>
      <c r="BC21" s="26" t="s">
        <v>19</v>
      </c>
      <c r="BD21" s="25"/>
      <c r="BE21" s="26" t="s">
        <v>20</v>
      </c>
      <c r="BF21" s="25"/>
      <c r="BG21" s="26" t="s">
        <v>50</v>
      </c>
      <c r="BH21" s="27">
        <f>SUM(BB21+BD21+BF21)*16</f>
        <v>0</v>
      </c>
      <c r="BJ21" s="24" t="s">
        <v>18</v>
      </c>
      <c r="BK21" s="25"/>
      <c r="BL21" s="26" t="s">
        <v>19</v>
      </c>
      <c r="BM21" s="25"/>
      <c r="BN21" s="26" t="s">
        <v>20</v>
      </c>
      <c r="BO21" s="25"/>
      <c r="BP21" s="26" t="s">
        <v>50</v>
      </c>
      <c r="BQ21" s="27">
        <f>SUM(BK21+BM21+BO21)*16</f>
        <v>0</v>
      </c>
      <c r="BS21" s="24" t="s">
        <v>18</v>
      </c>
      <c r="BT21" s="25"/>
      <c r="BU21" s="26" t="s">
        <v>19</v>
      </c>
      <c r="BV21" s="25"/>
      <c r="BW21" s="26" t="s">
        <v>20</v>
      </c>
      <c r="BX21" s="25"/>
      <c r="BY21" s="26" t="s">
        <v>50</v>
      </c>
      <c r="BZ21" s="27">
        <f>SUM(BT21+BV21+BX21)*16</f>
        <v>0</v>
      </c>
      <c r="CB21" s="65" t="s">
        <v>40</v>
      </c>
      <c r="CC21" s="51"/>
      <c r="CD21" s="51"/>
      <c r="CE21" s="51">
        <f ca="1">CE22*3*16</f>
        <v>0</v>
      </c>
      <c r="CF21" s="51"/>
      <c r="CG21" s="68"/>
    </row>
    <row r="22" spans="3:85" ht="15.75" thickBot="1" x14ac:dyDescent="0.3">
      <c r="N22" s="28" t="s">
        <v>51</v>
      </c>
      <c r="O22" s="19">
        <f>(I21+K21+M21)/3</f>
        <v>0</v>
      </c>
      <c r="W22" s="28" t="s">
        <v>51</v>
      </c>
      <c r="X22" s="19">
        <f>(R21+T21+V21)/3</f>
        <v>0</v>
      </c>
      <c r="AF22" s="28" t="s">
        <v>51</v>
      </c>
      <c r="AG22" s="19">
        <f>(AA21+AC21+AE21)/3</f>
        <v>0</v>
      </c>
      <c r="AO22" s="28" t="s">
        <v>51</v>
      </c>
      <c r="AP22" s="19">
        <f>(AJ21+AL21+AN21)/3</f>
        <v>0</v>
      </c>
      <c r="AX22" s="28" t="s">
        <v>51</v>
      </c>
      <c r="AY22" s="19">
        <f>(AS21+AU21+AW21)/3</f>
        <v>0</v>
      </c>
      <c r="BG22" s="28" t="s">
        <v>51</v>
      </c>
      <c r="BH22" s="19">
        <f>(BB21+BD21+BF21)/3</f>
        <v>0</v>
      </c>
      <c r="BP22" s="28" t="s">
        <v>51</v>
      </c>
      <c r="BQ22" s="19">
        <f>(BK21+BM21+BO21)/3</f>
        <v>0</v>
      </c>
      <c r="BY22" s="28" t="s">
        <v>51</v>
      </c>
      <c r="BZ22" s="19">
        <f>(BT21+BV21+BX21)/3</f>
        <v>0</v>
      </c>
      <c r="CB22" s="66" t="s">
        <v>21</v>
      </c>
      <c r="CC22" s="67"/>
      <c r="CD22" s="67"/>
      <c r="CE22" s="54">
        <f ca="1">SUM(IF(MOD(COLUMN(O22:OFFSET(CE22,0,-1)) - COLUMN(O22), 9) = 0, O22:OFFSET(CE22,0,-1), 0))</f>
        <v>0</v>
      </c>
      <c r="CF22" s="54"/>
      <c r="CG22" s="55"/>
    </row>
    <row r="23" spans="3:85" ht="15.75" thickBot="1" x14ac:dyDescent="0.3"/>
    <row r="24" spans="3:85" ht="15" customHeight="1" x14ac:dyDescent="0.25">
      <c r="C24" s="51" t="s">
        <v>24</v>
      </c>
      <c r="D24" s="51"/>
      <c r="E24" s="51"/>
      <c r="F24" s="51"/>
      <c r="H24" s="39"/>
      <c r="I24" s="40"/>
      <c r="J24" s="40"/>
      <c r="K24" s="40"/>
      <c r="L24" s="40"/>
      <c r="M24" s="40"/>
      <c r="N24" s="40"/>
      <c r="O24" s="41"/>
      <c r="Q24" s="39"/>
      <c r="R24" s="40"/>
      <c r="S24" s="40"/>
      <c r="T24" s="40"/>
      <c r="U24" s="40"/>
      <c r="V24" s="40"/>
      <c r="W24" s="40"/>
      <c r="X24" s="41"/>
      <c r="Z24" s="39"/>
      <c r="AA24" s="40"/>
      <c r="AB24" s="40"/>
      <c r="AC24" s="40"/>
      <c r="AD24" s="40"/>
      <c r="AE24" s="40"/>
      <c r="AF24" s="40"/>
      <c r="AG24" s="41"/>
      <c r="AI24" s="39"/>
      <c r="AJ24" s="40"/>
      <c r="AK24" s="40"/>
      <c r="AL24" s="40"/>
      <c r="AM24" s="40"/>
      <c r="AN24" s="40"/>
      <c r="AO24" s="40"/>
      <c r="AP24" s="41"/>
      <c r="AR24" s="39"/>
      <c r="AS24" s="40"/>
      <c r="AT24" s="40"/>
      <c r="AU24" s="40"/>
      <c r="AV24" s="40"/>
      <c r="AW24" s="40"/>
      <c r="AX24" s="40"/>
      <c r="AY24" s="41"/>
      <c r="BA24" s="39"/>
      <c r="BB24" s="40"/>
      <c r="BC24" s="40"/>
      <c r="BD24" s="40"/>
      <c r="BE24" s="40"/>
      <c r="BF24" s="40"/>
      <c r="BG24" s="40"/>
      <c r="BH24" s="41"/>
      <c r="BJ24" s="45"/>
      <c r="BK24" s="46"/>
      <c r="BL24" s="46"/>
      <c r="BM24" s="46"/>
      <c r="BN24" s="46"/>
      <c r="BO24" s="46"/>
      <c r="BP24" s="46"/>
      <c r="BQ24" s="47"/>
      <c r="BS24" s="45"/>
      <c r="BT24" s="46"/>
      <c r="BU24" s="46"/>
      <c r="BV24" s="46"/>
      <c r="BW24" s="46"/>
      <c r="BX24" s="46"/>
      <c r="BY24" s="46"/>
      <c r="BZ24" s="47"/>
      <c r="CB24" s="62" t="s">
        <v>54</v>
      </c>
      <c r="CC24" s="63"/>
      <c r="CD24" s="63"/>
      <c r="CE24" s="63"/>
      <c r="CF24" s="63"/>
      <c r="CG24" s="64"/>
    </row>
    <row r="25" spans="3:85" x14ac:dyDescent="0.25">
      <c r="C25" s="51"/>
      <c r="D25" s="51"/>
      <c r="E25" s="51"/>
      <c r="F25" s="51"/>
      <c r="H25" s="42"/>
      <c r="I25" s="43"/>
      <c r="J25" s="43"/>
      <c r="K25" s="43"/>
      <c r="L25" s="43"/>
      <c r="M25" s="43"/>
      <c r="N25" s="43"/>
      <c r="O25" s="44"/>
      <c r="Q25" s="42"/>
      <c r="R25" s="43"/>
      <c r="S25" s="43"/>
      <c r="T25" s="43"/>
      <c r="U25" s="43"/>
      <c r="V25" s="43"/>
      <c r="W25" s="43"/>
      <c r="X25" s="44"/>
      <c r="Z25" s="42"/>
      <c r="AA25" s="43"/>
      <c r="AB25" s="43"/>
      <c r="AC25" s="43"/>
      <c r="AD25" s="43"/>
      <c r="AE25" s="43"/>
      <c r="AF25" s="43"/>
      <c r="AG25" s="44"/>
      <c r="AI25" s="42"/>
      <c r="AJ25" s="43"/>
      <c r="AK25" s="43"/>
      <c r="AL25" s="43"/>
      <c r="AM25" s="43"/>
      <c r="AN25" s="43"/>
      <c r="AO25" s="43"/>
      <c r="AP25" s="44"/>
      <c r="AR25" s="42"/>
      <c r="AS25" s="43"/>
      <c r="AT25" s="43"/>
      <c r="AU25" s="43"/>
      <c r="AV25" s="43"/>
      <c r="AW25" s="43"/>
      <c r="AX25" s="43"/>
      <c r="AY25" s="44"/>
      <c r="BA25" s="42"/>
      <c r="BB25" s="43"/>
      <c r="BC25" s="43"/>
      <c r="BD25" s="43"/>
      <c r="BE25" s="43"/>
      <c r="BF25" s="43"/>
      <c r="BG25" s="43"/>
      <c r="BH25" s="44"/>
      <c r="BJ25" s="48"/>
      <c r="BK25" s="49"/>
      <c r="BL25" s="49"/>
      <c r="BM25" s="49"/>
      <c r="BN25" s="49"/>
      <c r="BO25" s="49"/>
      <c r="BP25" s="49"/>
      <c r="BQ25" s="50"/>
      <c r="BS25" s="48"/>
      <c r="BT25" s="49"/>
      <c r="BU25" s="49"/>
      <c r="BV25" s="49"/>
      <c r="BW25" s="49"/>
      <c r="BX25" s="49"/>
      <c r="BY25" s="49"/>
      <c r="BZ25" s="50"/>
      <c r="CB25" s="16" t="s">
        <v>18</v>
      </c>
      <c r="CC25" s="14">
        <f t="array" aca="1" ref="CC25" ca="1">SUM(IF(ISNUMBER(SEARCH("Asignatura", $I$6:OFFSET(CC$6,0,-1))), I26:OFFSET(CC26,0,-1), 0))*16</f>
        <v>0</v>
      </c>
      <c r="CD25" s="17" t="s">
        <v>19</v>
      </c>
      <c r="CE25" s="14">
        <f t="array" aca="1" ref="CE25" ca="1">SUM(IF(ISNUMBER(SEARCH("Asignatura", $I$6:OFFSET(CE$6,0,-1))), K26:OFFSET(CE26,0,-1), 0))*16</f>
        <v>0</v>
      </c>
      <c r="CF25" s="17" t="s">
        <v>20</v>
      </c>
      <c r="CG25" s="15">
        <f t="array" aca="1" ref="CG25" ca="1">SUM(IF(ISNUMBER(SEARCH("Asignatura", $I$6:OFFSET(CG$6,0,-1))), M26:OFFSET(CG26,0,-1), 0))*16</f>
        <v>0</v>
      </c>
    </row>
    <row r="26" spans="3:85" ht="15.75" thickBot="1" x14ac:dyDescent="0.3">
      <c r="H26" s="24" t="s">
        <v>18</v>
      </c>
      <c r="I26" s="25"/>
      <c r="J26" s="26" t="s">
        <v>19</v>
      </c>
      <c r="K26" s="25"/>
      <c r="L26" s="26" t="s">
        <v>20</v>
      </c>
      <c r="M26" s="25"/>
      <c r="N26" s="26" t="s">
        <v>50</v>
      </c>
      <c r="O26" s="27">
        <f>SUM(I26+K26+M26)*16</f>
        <v>0</v>
      </c>
      <c r="Q26" s="24" t="s">
        <v>18</v>
      </c>
      <c r="R26" s="25"/>
      <c r="S26" s="26" t="s">
        <v>19</v>
      </c>
      <c r="T26" s="25"/>
      <c r="U26" s="26" t="s">
        <v>20</v>
      </c>
      <c r="V26" s="25"/>
      <c r="W26" s="26" t="s">
        <v>50</v>
      </c>
      <c r="X26" s="27">
        <f>SUM(R26+T26+V26)*16</f>
        <v>0</v>
      </c>
      <c r="Z26" s="24" t="s">
        <v>18</v>
      </c>
      <c r="AA26" s="25"/>
      <c r="AB26" s="26" t="s">
        <v>19</v>
      </c>
      <c r="AC26" s="25"/>
      <c r="AD26" s="26" t="s">
        <v>20</v>
      </c>
      <c r="AE26" s="25"/>
      <c r="AF26" s="26" t="s">
        <v>50</v>
      </c>
      <c r="AG26" s="27">
        <f>SUM(AA26+AC26+AE26)*16</f>
        <v>0</v>
      </c>
      <c r="AI26" s="24" t="s">
        <v>18</v>
      </c>
      <c r="AJ26" s="25"/>
      <c r="AK26" s="26" t="s">
        <v>19</v>
      </c>
      <c r="AL26" s="25"/>
      <c r="AM26" s="26" t="s">
        <v>20</v>
      </c>
      <c r="AN26" s="25"/>
      <c r="AO26" s="26" t="s">
        <v>50</v>
      </c>
      <c r="AP26" s="27">
        <f>SUM(AJ26+AL26+AN26)*16</f>
        <v>0</v>
      </c>
      <c r="AR26" s="24" t="s">
        <v>18</v>
      </c>
      <c r="AS26" s="25"/>
      <c r="AT26" s="26" t="s">
        <v>19</v>
      </c>
      <c r="AU26" s="25"/>
      <c r="AV26" s="26" t="s">
        <v>20</v>
      </c>
      <c r="AW26" s="25"/>
      <c r="AX26" s="26" t="s">
        <v>50</v>
      </c>
      <c r="AY26" s="27">
        <f>SUM(AS26+AU26+AW26)*16</f>
        <v>0</v>
      </c>
      <c r="BA26" s="24" t="s">
        <v>18</v>
      </c>
      <c r="BB26" s="25"/>
      <c r="BC26" s="26" t="s">
        <v>19</v>
      </c>
      <c r="BD26" s="25"/>
      <c r="BE26" s="26" t="s">
        <v>20</v>
      </c>
      <c r="BF26" s="25"/>
      <c r="BG26" s="26" t="s">
        <v>50</v>
      </c>
      <c r="BH26" s="27">
        <f>SUM(BB26+BD26+BF26)*16</f>
        <v>0</v>
      </c>
      <c r="BJ26" s="24" t="s">
        <v>18</v>
      </c>
      <c r="BK26" s="25"/>
      <c r="BL26" s="26" t="s">
        <v>19</v>
      </c>
      <c r="BM26" s="25"/>
      <c r="BN26" s="26" t="s">
        <v>20</v>
      </c>
      <c r="BO26" s="25"/>
      <c r="BP26" s="26" t="s">
        <v>50</v>
      </c>
      <c r="BQ26" s="27">
        <f>SUM(BK26+BM26+BO26)*16</f>
        <v>0</v>
      </c>
      <c r="BS26" s="24" t="s">
        <v>18</v>
      </c>
      <c r="BT26" s="25"/>
      <c r="BU26" s="26" t="s">
        <v>19</v>
      </c>
      <c r="BV26" s="25"/>
      <c r="BW26" s="26" t="s">
        <v>20</v>
      </c>
      <c r="BX26" s="25"/>
      <c r="BY26" s="26" t="s">
        <v>50</v>
      </c>
      <c r="BZ26" s="27">
        <f>SUM(BT26+BV26+BX26)*16</f>
        <v>0</v>
      </c>
      <c r="CB26" s="65" t="s">
        <v>40</v>
      </c>
      <c r="CC26" s="51"/>
      <c r="CD26" s="51"/>
      <c r="CE26" s="51">
        <f ca="1">CE27*3*16</f>
        <v>0</v>
      </c>
      <c r="CF26" s="51"/>
      <c r="CG26" s="68"/>
    </row>
    <row r="27" spans="3:85" ht="15.75" thickBot="1" x14ac:dyDescent="0.3">
      <c r="N27" s="28" t="s">
        <v>51</v>
      </c>
      <c r="O27" s="19">
        <f>(I26+K26+M26)/3</f>
        <v>0</v>
      </c>
      <c r="W27" s="28" t="s">
        <v>51</v>
      </c>
      <c r="X27" s="19">
        <f>(R26+T26+V26)/3</f>
        <v>0</v>
      </c>
      <c r="AF27" s="28" t="s">
        <v>51</v>
      </c>
      <c r="AG27" s="19">
        <f>(AA26+AC26+AE26)/3</f>
        <v>0</v>
      </c>
      <c r="AO27" s="28" t="s">
        <v>51</v>
      </c>
      <c r="AP27" s="19">
        <f>(AJ26+AL26+AN26)/3</f>
        <v>0</v>
      </c>
      <c r="AX27" s="28" t="s">
        <v>51</v>
      </c>
      <c r="AY27" s="19">
        <f>(AS26+AU26+AW26)/3</f>
        <v>0</v>
      </c>
      <c r="BG27" s="28" t="s">
        <v>51</v>
      </c>
      <c r="BH27" s="19">
        <f>(BB26+BD26+BF26)/3</f>
        <v>0</v>
      </c>
      <c r="BP27" s="28" t="s">
        <v>51</v>
      </c>
      <c r="BQ27" s="19">
        <f>(BK26+BM26+BO26)/3</f>
        <v>0</v>
      </c>
      <c r="BY27" s="28" t="s">
        <v>51</v>
      </c>
      <c r="BZ27" s="19">
        <f>(BT26+BV26+BX26)/3</f>
        <v>0</v>
      </c>
      <c r="CB27" s="66" t="s">
        <v>21</v>
      </c>
      <c r="CC27" s="67"/>
      <c r="CD27" s="67"/>
      <c r="CE27" s="54">
        <f ca="1">SUM(IF(MOD(COLUMN(O27:OFFSET(CE27,0,-1)) - COLUMN(O27), 9) = 0, O27:OFFSET(CE27,0,-1), 0))</f>
        <v>0</v>
      </c>
      <c r="CF27" s="54"/>
      <c r="CG27" s="55"/>
    </row>
    <row r="28" spans="3:85" ht="15.75" thickBot="1" x14ac:dyDescent="0.3"/>
    <row r="29" spans="3:85" ht="15" customHeight="1" x14ac:dyDescent="0.25">
      <c r="C29" s="51" t="s">
        <v>25</v>
      </c>
      <c r="D29" s="51"/>
      <c r="E29" s="51"/>
      <c r="F29" s="51"/>
      <c r="H29" s="39"/>
      <c r="I29" s="40"/>
      <c r="J29" s="40"/>
      <c r="K29" s="40"/>
      <c r="L29" s="40"/>
      <c r="M29" s="40"/>
      <c r="N29" s="40"/>
      <c r="O29" s="41"/>
      <c r="Q29" s="39"/>
      <c r="R29" s="40"/>
      <c r="S29" s="40"/>
      <c r="T29" s="40"/>
      <c r="U29" s="40"/>
      <c r="V29" s="40"/>
      <c r="W29" s="40"/>
      <c r="X29" s="41"/>
      <c r="Z29" s="39"/>
      <c r="AA29" s="40"/>
      <c r="AB29" s="40"/>
      <c r="AC29" s="40"/>
      <c r="AD29" s="40"/>
      <c r="AE29" s="40"/>
      <c r="AF29" s="40"/>
      <c r="AG29" s="41"/>
      <c r="AI29" s="39"/>
      <c r="AJ29" s="40"/>
      <c r="AK29" s="40"/>
      <c r="AL29" s="40"/>
      <c r="AM29" s="40"/>
      <c r="AN29" s="40"/>
      <c r="AO29" s="40"/>
      <c r="AP29" s="41"/>
      <c r="AR29" s="39"/>
      <c r="AS29" s="40"/>
      <c r="AT29" s="40"/>
      <c r="AU29" s="40"/>
      <c r="AV29" s="40"/>
      <c r="AW29" s="40"/>
      <c r="AX29" s="40"/>
      <c r="AY29" s="41"/>
      <c r="BA29" s="39"/>
      <c r="BB29" s="40"/>
      <c r="BC29" s="40"/>
      <c r="BD29" s="40"/>
      <c r="BE29" s="40"/>
      <c r="BF29" s="40"/>
      <c r="BG29" s="40"/>
      <c r="BH29" s="41"/>
      <c r="BJ29" s="45"/>
      <c r="BK29" s="46"/>
      <c r="BL29" s="46"/>
      <c r="BM29" s="46"/>
      <c r="BN29" s="46"/>
      <c r="BO29" s="46"/>
      <c r="BP29" s="46"/>
      <c r="BQ29" s="47"/>
      <c r="BS29" s="45"/>
      <c r="BT29" s="46"/>
      <c r="BU29" s="46"/>
      <c r="BV29" s="46"/>
      <c r="BW29" s="46"/>
      <c r="BX29" s="46"/>
      <c r="BY29" s="46"/>
      <c r="BZ29" s="47"/>
      <c r="CB29" s="62" t="s">
        <v>55</v>
      </c>
      <c r="CC29" s="63"/>
      <c r="CD29" s="63"/>
      <c r="CE29" s="63"/>
      <c r="CF29" s="63"/>
      <c r="CG29" s="64"/>
    </row>
    <row r="30" spans="3:85" x14ac:dyDescent="0.25">
      <c r="C30" s="51"/>
      <c r="D30" s="51"/>
      <c r="E30" s="51"/>
      <c r="F30" s="51"/>
      <c r="H30" s="42"/>
      <c r="I30" s="43"/>
      <c r="J30" s="43"/>
      <c r="K30" s="43"/>
      <c r="L30" s="43"/>
      <c r="M30" s="43"/>
      <c r="N30" s="43"/>
      <c r="O30" s="44"/>
      <c r="Q30" s="42"/>
      <c r="R30" s="43"/>
      <c r="S30" s="43"/>
      <c r="T30" s="43"/>
      <c r="U30" s="43"/>
      <c r="V30" s="43"/>
      <c r="W30" s="43"/>
      <c r="X30" s="44"/>
      <c r="Z30" s="42"/>
      <c r="AA30" s="43"/>
      <c r="AB30" s="43"/>
      <c r="AC30" s="43"/>
      <c r="AD30" s="43"/>
      <c r="AE30" s="43"/>
      <c r="AF30" s="43"/>
      <c r="AG30" s="44"/>
      <c r="AI30" s="42"/>
      <c r="AJ30" s="43"/>
      <c r="AK30" s="43"/>
      <c r="AL30" s="43"/>
      <c r="AM30" s="43"/>
      <c r="AN30" s="43"/>
      <c r="AO30" s="43"/>
      <c r="AP30" s="44"/>
      <c r="AR30" s="42"/>
      <c r="AS30" s="43"/>
      <c r="AT30" s="43"/>
      <c r="AU30" s="43"/>
      <c r="AV30" s="43"/>
      <c r="AW30" s="43"/>
      <c r="AX30" s="43"/>
      <c r="AY30" s="44"/>
      <c r="BA30" s="42"/>
      <c r="BB30" s="43"/>
      <c r="BC30" s="43"/>
      <c r="BD30" s="43"/>
      <c r="BE30" s="43"/>
      <c r="BF30" s="43"/>
      <c r="BG30" s="43"/>
      <c r="BH30" s="44"/>
      <c r="BJ30" s="48"/>
      <c r="BK30" s="49"/>
      <c r="BL30" s="49"/>
      <c r="BM30" s="49"/>
      <c r="BN30" s="49"/>
      <c r="BO30" s="49"/>
      <c r="BP30" s="49"/>
      <c r="BQ30" s="50"/>
      <c r="BS30" s="48"/>
      <c r="BT30" s="49"/>
      <c r="BU30" s="49"/>
      <c r="BV30" s="49"/>
      <c r="BW30" s="49"/>
      <c r="BX30" s="49"/>
      <c r="BY30" s="49"/>
      <c r="BZ30" s="50"/>
      <c r="CB30" s="16" t="s">
        <v>18</v>
      </c>
      <c r="CC30" s="14">
        <f t="array" aca="1" ref="CC30" ca="1">SUM(IF(ISNUMBER(SEARCH("Asignatura", $I$6:OFFSET(CC$6,0,-1))), I31:OFFSET(CC31,0,-1), 0))*16</f>
        <v>0</v>
      </c>
      <c r="CD30" s="17" t="s">
        <v>19</v>
      </c>
      <c r="CE30" s="14">
        <f t="array" aca="1" ref="CE30" ca="1">SUM(IF(ISNUMBER(SEARCH("Asignatura", $I$6:OFFSET(CE$6,0,-1))), K31:OFFSET(CE31,0,-1), 0))*16</f>
        <v>0</v>
      </c>
      <c r="CF30" s="17" t="s">
        <v>20</v>
      </c>
      <c r="CG30" s="15">
        <f t="array" aca="1" ref="CG30" ca="1">SUM(IF(ISNUMBER(SEARCH("Asignatura", $I$6:OFFSET(CG$6,0,-1))), M31:OFFSET(CG31,0,-1), 0))*16</f>
        <v>0</v>
      </c>
    </row>
    <row r="31" spans="3:85" ht="15.75" thickBot="1" x14ac:dyDescent="0.3">
      <c r="H31" s="24" t="s">
        <v>18</v>
      </c>
      <c r="I31" s="25"/>
      <c r="J31" s="26" t="s">
        <v>19</v>
      </c>
      <c r="K31" s="25"/>
      <c r="L31" s="26" t="s">
        <v>20</v>
      </c>
      <c r="M31" s="25"/>
      <c r="N31" s="26" t="s">
        <v>50</v>
      </c>
      <c r="O31" s="27">
        <f>SUM(I31+K31+M31)*16</f>
        <v>0</v>
      </c>
      <c r="Q31" s="24" t="s">
        <v>18</v>
      </c>
      <c r="R31" s="25"/>
      <c r="S31" s="26" t="s">
        <v>19</v>
      </c>
      <c r="T31" s="25"/>
      <c r="U31" s="26" t="s">
        <v>20</v>
      </c>
      <c r="V31" s="25"/>
      <c r="W31" s="26" t="s">
        <v>50</v>
      </c>
      <c r="X31" s="27">
        <f>SUM(R31+T31+V31)*16</f>
        <v>0</v>
      </c>
      <c r="Z31" s="24" t="s">
        <v>18</v>
      </c>
      <c r="AA31" s="25"/>
      <c r="AB31" s="26" t="s">
        <v>19</v>
      </c>
      <c r="AC31" s="25"/>
      <c r="AD31" s="26" t="s">
        <v>20</v>
      </c>
      <c r="AE31" s="25"/>
      <c r="AF31" s="26" t="s">
        <v>50</v>
      </c>
      <c r="AG31" s="27">
        <f>SUM(AA31+AC31+AE31)*16</f>
        <v>0</v>
      </c>
      <c r="AI31" s="24" t="s">
        <v>18</v>
      </c>
      <c r="AJ31" s="25"/>
      <c r="AK31" s="26" t="s">
        <v>19</v>
      </c>
      <c r="AL31" s="25"/>
      <c r="AM31" s="26" t="s">
        <v>20</v>
      </c>
      <c r="AN31" s="25"/>
      <c r="AO31" s="26" t="s">
        <v>50</v>
      </c>
      <c r="AP31" s="27">
        <f>SUM(AJ31+AL31+AN31)*16</f>
        <v>0</v>
      </c>
      <c r="AR31" s="24" t="s">
        <v>18</v>
      </c>
      <c r="AS31" s="25"/>
      <c r="AT31" s="26" t="s">
        <v>19</v>
      </c>
      <c r="AU31" s="25"/>
      <c r="AV31" s="26" t="s">
        <v>20</v>
      </c>
      <c r="AW31" s="25"/>
      <c r="AX31" s="26" t="s">
        <v>50</v>
      </c>
      <c r="AY31" s="27">
        <f>SUM(AS31+AU31+AW31)*16</f>
        <v>0</v>
      </c>
      <c r="BA31" s="24" t="s">
        <v>18</v>
      </c>
      <c r="BB31" s="25"/>
      <c r="BC31" s="26" t="s">
        <v>19</v>
      </c>
      <c r="BD31" s="25"/>
      <c r="BE31" s="26" t="s">
        <v>20</v>
      </c>
      <c r="BF31" s="25"/>
      <c r="BG31" s="26" t="s">
        <v>50</v>
      </c>
      <c r="BH31" s="27">
        <f>SUM(BB31+BD31+BF31)*16</f>
        <v>0</v>
      </c>
      <c r="BJ31" s="24" t="s">
        <v>18</v>
      </c>
      <c r="BK31" s="25"/>
      <c r="BL31" s="26" t="s">
        <v>19</v>
      </c>
      <c r="BM31" s="25"/>
      <c r="BN31" s="26" t="s">
        <v>20</v>
      </c>
      <c r="BO31" s="25"/>
      <c r="BP31" s="26" t="s">
        <v>50</v>
      </c>
      <c r="BQ31" s="27">
        <f>SUM(BK31+BM31+BO31)*16</f>
        <v>0</v>
      </c>
      <c r="BS31" s="24" t="s">
        <v>18</v>
      </c>
      <c r="BT31" s="25"/>
      <c r="BU31" s="26" t="s">
        <v>19</v>
      </c>
      <c r="BV31" s="25"/>
      <c r="BW31" s="26" t="s">
        <v>20</v>
      </c>
      <c r="BX31" s="25"/>
      <c r="BY31" s="26" t="s">
        <v>50</v>
      </c>
      <c r="BZ31" s="27">
        <f>SUM(BT31+BV31+BX31)*16</f>
        <v>0</v>
      </c>
      <c r="CB31" s="65" t="s">
        <v>40</v>
      </c>
      <c r="CC31" s="51"/>
      <c r="CD31" s="51"/>
      <c r="CE31" s="51">
        <f ca="1">CE32*3*16</f>
        <v>0</v>
      </c>
      <c r="CF31" s="51"/>
      <c r="CG31" s="68"/>
    </row>
    <row r="32" spans="3:85" ht="15.75" thickBot="1" x14ac:dyDescent="0.3">
      <c r="N32" s="28" t="s">
        <v>51</v>
      </c>
      <c r="O32" s="19">
        <f>(I31+K31+M31)/3</f>
        <v>0</v>
      </c>
      <c r="W32" s="28" t="s">
        <v>51</v>
      </c>
      <c r="X32" s="19">
        <f>(R31+T31+V31)/3</f>
        <v>0</v>
      </c>
      <c r="AF32" s="28" t="s">
        <v>51</v>
      </c>
      <c r="AG32" s="19">
        <f>(AA31+AC31+AE31)/3</f>
        <v>0</v>
      </c>
      <c r="AO32" s="28" t="s">
        <v>51</v>
      </c>
      <c r="AP32" s="19">
        <f>(AJ31+AL31+AN31)/3</f>
        <v>0</v>
      </c>
      <c r="AX32" s="28" t="s">
        <v>51</v>
      </c>
      <c r="AY32" s="19">
        <f>(AS31+AU31+AW31)/3</f>
        <v>0</v>
      </c>
      <c r="BG32" s="28" t="s">
        <v>51</v>
      </c>
      <c r="BH32" s="19">
        <f>(BB31+BD31+BF31)/3</f>
        <v>0</v>
      </c>
      <c r="BP32" s="28" t="s">
        <v>51</v>
      </c>
      <c r="BQ32" s="19">
        <f>(BK31+BM31+BO31)/3</f>
        <v>0</v>
      </c>
      <c r="BY32" s="28" t="s">
        <v>51</v>
      </c>
      <c r="BZ32" s="19">
        <f>(BT31+BV31+BX31)/3</f>
        <v>0</v>
      </c>
      <c r="CB32" s="66" t="s">
        <v>21</v>
      </c>
      <c r="CC32" s="67"/>
      <c r="CD32" s="67"/>
      <c r="CE32" s="54">
        <f ca="1">SUM(IF(MOD(COLUMN(O32:OFFSET(CE32,0,-1)) - COLUMN(O32), 9) = 0, O32:OFFSET(CE32,0,-1), 0))</f>
        <v>0</v>
      </c>
      <c r="CF32" s="54"/>
      <c r="CG32" s="55"/>
    </row>
    <row r="33" spans="3:85" ht="15.75" thickBot="1" x14ac:dyDescent="0.3"/>
    <row r="34" spans="3:85" ht="15" customHeight="1" x14ac:dyDescent="0.25">
      <c r="C34" s="51" t="s">
        <v>26</v>
      </c>
      <c r="D34" s="51"/>
      <c r="E34" s="51"/>
      <c r="F34" s="51"/>
      <c r="H34" s="39"/>
      <c r="I34" s="40"/>
      <c r="J34" s="40"/>
      <c r="K34" s="40"/>
      <c r="L34" s="40"/>
      <c r="M34" s="40"/>
      <c r="N34" s="40"/>
      <c r="O34" s="41"/>
      <c r="Q34" s="39"/>
      <c r="R34" s="40"/>
      <c r="S34" s="40"/>
      <c r="T34" s="40"/>
      <c r="U34" s="40"/>
      <c r="V34" s="40"/>
      <c r="W34" s="40"/>
      <c r="X34" s="41"/>
      <c r="Z34" s="39"/>
      <c r="AA34" s="40"/>
      <c r="AB34" s="40"/>
      <c r="AC34" s="40"/>
      <c r="AD34" s="40"/>
      <c r="AE34" s="40"/>
      <c r="AF34" s="40"/>
      <c r="AG34" s="41"/>
      <c r="AI34" s="39"/>
      <c r="AJ34" s="40"/>
      <c r="AK34" s="40"/>
      <c r="AL34" s="40"/>
      <c r="AM34" s="40"/>
      <c r="AN34" s="40"/>
      <c r="AO34" s="40"/>
      <c r="AP34" s="41"/>
      <c r="AR34" s="39"/>
      <c r="AS34" s="40"/>
      <c r="AT34" s="40"/>
      <c r="AU34" s="40"/>
      <c r="AV34" s="40"/>
      <c r="AW34" s="40"/>
      <c r="AX34" s="40"/>
      <c r="AY34" s="41"/>
      <c r="BA34" s="39"/>
      <c r="BB34" s="40"/>
      <c r="BC34" s="40"/>
      <c r="BD34" s="40"/>
      <c r="BE34" s="40"/>
      <c r="BF34" s="40"/>
      <c r="BG34" s="40"/>
      <c r="BH34" s="41"/>
      <c r="BJ34" s="45"/>
      <c r="BK34" s="46"/>
      <c r="BL34" s="46"/>
      <c r="BM34" s="46"/>
      <c r="BN34" s="46"/>
      <c r="BO34" s="46"/>
      <c r="BP34" s="46"/>
      <c r="BQ34" s="47"/>
      <c r="BS34" s="45"/>
      <c r="BT34" s="46"/>
      <c r="BU34" s="46"/>
      <c r="BV34" s="46"/>
      <c r="BW34" s="46"/>
      <c r="BX34" s="46"/>
      <c r="BY34" s="46"/>
      <c r="BZ34" s="47"/>
      <c r="CB34" s="62" t="s">
        <v>56</v>
      </c>
      <c r="CC34" s="63"/>
      <c r="CD34" s="63"/>
      <c r="CE34" s="63"/>
      <c r="CF34" s="63"/>
      <c r="CG34" s="64"/>
    </row>
    <row r="35" spans="3:85" x14ac:dyDescent="0.25">
      <c r="C35" s="51"/>
      <c r="D35" s="51"/>
      <c r="E35" s="51"/>
      <c r="F35" s="51"/>
      <c r="H35" s="42"/>
      <c r="I35" s="43"/>
      <c r="J35" s="43"/>
      <c r="K35" s="43"/>
      <c r="L35" s="43"/>
      <c r="M35" s="43"/>
      <c r="N35" s="43"/>
      <c r="O35" s="44"/>
      <c r="Q35" s="42"/>
      <c r="R35" s="43"/>
      <c r="S35" s="43"/>
      <c r="T35" s="43"/>
      <c r="U35" s="43"/>
      <c r="V35" s="43"/>
      <c r="W35" s="43"/>
      <c r="X35" s="44"/>
      <c r="Z35" s="42"/>
      <c r="AA35" s="43"/>
      <c r="AB35" s="43"/>
      <c r="AC35" s="43"/>
      <c r="AD35" s="43"/>
      <c r="AE35" s="43"/>
      <c r="AF35" s="43"/>
      <c r="AG35" s="44"/>
      <c r="AI35" s="42"/>
      <c r="AJ35" s="43"/>
      <c r="AK35" s="43"/>
      <c r="AL35" s="43"/>
      <c r="AM35" s="43"/>
      <c r="AN35" s="43"/>
      <c r="AO35" s="43"/>
      <c r="AP35" s="44"/>
      <c r="AR35" s="42"/>
      <c r="AS35" s="43"/>
      <c r="AT35" s="43"/>
      <c r="AU35" s="43"/>
      <c r="AV35" s="43"/>
      <c r="AW35" s="43"/>
      <c r="AX35" s="43"/>
      <c r="AY35" s="44"/>
      <c r="BA35" s="42"/>
      <c r="BB35" s="43"/>
      <c r="BC35" s="43"/>
      <c r="BD35" s="43"/>
      <c r="BE35" s="43"/>
      <c r="BF35" s="43"/>
      <c r="BG35" s="43"/>
      <c r="BH35" s="44"/>
      <c r="BJ35" s="48"/>
      <c r="BK35" s="49"/>
      <c r="BL35" s="49"/>
      <c r="BM35" s="49"/>
      <c r="BN35" s="49"/>
      <c r="BO35" s="49"/>
      <c r="BP35" s="49"/>
      <c r="BQ35" s="50"/>
      <c r="BS35" s="48"/>
      <c r="BT35" s="49"/>
      <c r="BU35" s="49"/>
      <c r="BV35" s="49"/>
      <c r="BW35" s="49"/>
      <c r="BX35" s="49"/>
      <c r="BY35" s="49"/>
      <c r="BZ35" s="50"/>
      <c r="CB35" s="16" t="s">
        <v>18</v>
      </c>
      <c r="CC35" s="14">
        <f t="array" aca="1" ref="CC35" ca="1">SUM(IF(ISNUMBER(SEARCH("Asignatura", $I$6:OFFSET(CC$6,0,-1))), I36:OFFSET(CC36,0,-1), 0))*16</f>
        <v>0</v>
      </c>
      <c r="CD35" s="17" t="s">
        <v>19</v>
      </c>
      <c r="CE35" s="14">
        <f t="array" aca="1" ref="CE35" ca="1">SUM(IF(ISNUMBER(SEARCH("Asignatura", $I$6:OFFSET(CE$6,0,-1))), K36:OFFSET(CE36,0,-1), 0))*16</f>
        <v>0</v>
      </c>
      <c r="CF35" s="17" t="s">
        <v>20</v>
      </c>
      <c r="CG35" s="15">
        <f t="array" aca="1" ref="CG35" ca="1">SUM(IF(ISNUMBER(SEARCH("Asignatura", $I$6:OFFSET(CG$6,0,-1))), M36:OFFSET(CG36,0,-1), 0))*16</f>
        <v>0</v>
      </c>
    </row>
    <row r="36" spans="3:85" ht="15.75" thickBot="1" x14ac:dyDescent="0.3">
      <c r="H36" s="24" t="s">
        <v>18</v>
      </c>
      <c r="I36" s="25"/>
      <c r="J36" s="26" t="s">
        <v>19</v>
      </c>
      <c r="K36" s="25"/>
      <c r="L36" s="26" t="s">
        <v>20</v>
      </c>
      <c r="M36" s="25"/>
      <c r="N36" s="26" t="s">
        <v>50</v>
      </c>
      <c r="O36" s="27">
        <f>SUM(I36+K36+M36)*16</f>
        <v>0</v>
      </c>
      <c r="Q36" s="24" t="s">
        <v>18</v>
      </c>
      <c r="R36" s="25"/>
      <c r="S36" s="26" t="s">
        <v>19</v>
      </c>
      <c r="T36" s="25"/>
      <c r="U36" s="26" t="s">
        <v>20</v>
      </c>
      <c r="V36" s="25"/>
      <c r="W36" s="26" t="s">
        <v>50</v>
      </c>
      <c r="X36" s="27">
        <f>SUM(R36+T36+V36)*16</f>
        <v>0</v>
      </c>
      <c r="Z36" s="24" t="s">
        <v>18</v>
      </c>
      <c r="AA36" s="25"/>
      <c r="AB36" s="26" t="s">
        <v>19</v>
      </c>
      <c r="AC36" s="25"/>
      <c r="AD36" s="26" t="s">
        <v>20</v>
      </c>
      <c r="AE36" s="25"/>
      <c r="AF36" s="26" t="s">
        <v>50</v>
      </c>
      <c r="AG36" s="27">
        <f>SUM(AA36+AC36+AE36)*16</f>
        <v>0</v>
      </c>
      <c r="AI36" s="24" t="s">
        <v>18</v>
      </c>
      <c r="AJ36" s="25"/>
      <c r="AK36" s="26" t="s">
        <v>19</v>
      </c>
      <c r="AL36" s="25"/>
      <c r="AM36" s="26" t="s">
        <v>20</v>
      </c>
      <c r="AN36" s="25"/>
      <c r="AO36" s="26" t="s">
        <v>50</v>
      </c>
      <c r="AP36" s="27">
        <f>SUM(AJ36+AL36+AN36)*16</f>
        <v>0</v>
      </c>
      <c r="AR36" s="24" t="s">
        <v>18</v>
      </c>
      <c r="AS36" s="25"/>
      <c r="AT36" s="26" t="s">
        <v>19</v>
      </c>
      <c r="AU36" s="25"/>
      <c r="AV36" s="26" t="s">
        <v>20</v>
      </c>
      <c r="AW36" s="25"/>
      <c r="AX36" s="26" t="s">
        <v>50</v>
      </c>
      <c r="AY36" s="27">
        <f>SUM(AS36+AU36+AW36)*16</f>
        <v>0</v>
      </c>
      <c r="BA36" s="24" t="s">
        <v>18</v>
      </c>
      <c r="BB36" s="25"/>
      <c r="BC36" s="26" t="s">
        <v>19</v>
      </c>
      <c r="BD36" s="25"/>
      <c r="BE36" s="26" t="s">
        <v>20</v>
      </c>
      <c r="BF36" s="25"/>
      <c r="BG36" s="26" t="s">
        <v>50</v>
      </c>
      <c r="BH36" s="27">
        <f>SUM(BB36+BD36+BF36)*16</f>
        <v>0</v>
      </c>
      <c r="BJ36" s="24" t="s">
        <v>18</v>
      </c>
      <c r="BK36" s="25"/>
      <c r="BL36" s="26" t="s">
        <v>19</v>
      </c>
      <c r="BM36" s="25"/>
      <c r="BN36" s="26" t="s">
        <v>20</v>
      </c>
      <c r="BO36" s="25"/>
      <c r="BP36" s="26" t="s">
        <v>50</v>
      </c>
      <c r="BQ36" s="27">
        <f>SUM(BK36+BM36+BO36)*16</f>
        <v>0</v>
      </c>
      <c r="BS36" s="24" t="s">
        <v>18</v>
      </c>
      <c r="BT36" s="25"/>
      <c r="BU36" s="26" t="s">
        <v>19</v>
      </c>
      <c r="BV36" s="25"/>
      <c r="BW36" s="26" t="s">
        <v>20</v>
      </c>
      <c r="BX36" s="25"/>
      <c r="BY36" s="26" t="s">
        <v>50</v>
      </c>
      <c r="BZ36" s="27">
        <f>SUM(BT36+BV36+BX36)*16</f>
        <v>0</v>
      </c>
      <c r="CB36" s="65" t="s">
        <v>40</v>
      </c>
      <c r="CC36" s="51"/>
      <c r="CD36" s="51"/>
      <c r="CE36" s="51">
        <f ca="1">CE37*3*16</f>
        <v>0</v>
      </c>
      <c r="CF36" s="51"/>
      <c r="CG36" s="68"/>
    </row>
    <row r="37" spans="3:85" ht="15.75" thickBot="1" x14ac:dyDescent="0.3">
      <c r="N37" s="28" t="s">
        <v>51</v>
      </c>
      <c r="O37" s="19">
        <f>(I36+K36+M36)/3</f>
        <v>0</v>
      </c>
      <c r="W37" s="28" t="s">
        <v>51</v>
      </c>
      <c r="X37" s="19">
        <f>(R36+T36+V36)/3</f>
        <v>0</v>
      </c>
      <c r="AF37" s="28" t="s">
        <v>51</v>
      </c>
      <c r="AG37" s="19">
        <f>(AA36+AC36+AE36)/3</f>
        <v>0</v>
      </c>
      <c r="AO37" s="28" t="s">
        <v>51</v>
      </c>
      <c r="AP37" s="19">
        <f>(AJ36+AL36+AN36)/3</f>
        <v>0</v>
      </c>
      <c r="AX37" s="28" t="s">
        <v>51</v>
      </c>
      <c r="AY37" s="19">
        <f>(AS36+AU36+AW36)/3</f>
        <v>0</v>
      </c>
      <c r="BG37" s="28" t="s">
        <v>51</v>
      </c>
      <c r="BH37" s="19">
        <f>(BB36+BD36+BF36)/3</f>
        <v>0</v>
      </c>
      <c r="BP37" s="28" t="s">
        <v>51</v>
      </c>
      <c r="BQ37" s="19">
        <f>(BK36+BM36+BO36)/3</f>
        <v>0</v>
      </c>
      <c r="BY37" s="28" t="s">
        <v>51</v>
      </c>
      <c r="BZ37" s="19">
        <f>(BT36+BV36+BX36)/3</f>
        <v>0</v>
      </c>
      <c r="CB37" s="66" t="s">
        <v>21</v>
      </c>
      <c r="CC37" s="67"/>
      <c r="CD37" s="67"/>
      <c r="CE37" s="54">
        <f ca="1">SUM(IF(MOD(COLUMN(O37:OFFSET(CE37,0,-1)) - COLUMN(O37), 9) = 0, O37:OFFSET(CE37,0,-1), 0))</f>
        <v>0</v>
      </c>
      <c r="CF37" s="54"/>
      <c r="CG37" s="55"/>
    </row>
    <row r="38" spans="3:85" ht="15.75" thickBot="1" x14ac:dyDescent="0.3"/>
    <row r="39" spans="3:85" ht="15" customHeight="1" x14ac:dyDescent="0.25">
      <c r="C39" s="51" t="s">
        <v>27</v>
      </c>
      <c r="D39" s="51"/>
      <c r="E39" s="51"/>
      <c r="F39" s="51"/>
      <c r="H39" s="39"/>
      <c r="I39" s="40"/>
      <c r="J39" s="40"/>
      <c r="K39" s="40"/>
      <c r="L39" s="40"/>
      <c r="M39" s="40"/>
      <c r="N39" s="40"/>
      <c r="O39" s="41"/>
      <c r="Q39" s="39"/>
      <c r="R39" s="40"/>
      <c r="S39" s="40"/>
      <c r="T39" s="40"/>
      <c r="U39" s="40"/>
      <c r="V39" s="40"/>
      <c r="W39" s="40"/>
      <c r="X39" s="41"/>
      <c r="Z39" s="39"/>
      <c r="AA39" s="40"/>
      <c r="AB39" s="40"/>
      <c r="AC39" s="40"/>
      <c r="AD39" s="40"/>
      <c r="AE39" s="40"/>
      <c r="AF39" s="40"/>
      <c r="AG39" s="41"/>
      <c r="AI39" s="39"/>
      <c r="AJ39" s="40"/>
      <c r="AK39" s="40"/>
      <c r="AL39" s="40"/>
      <c r="AM39" s="40"/>
      <c r="AN39" s="40"/>
      <c r="AO39" s="40"/>
      <c r="AP39" s="41"/>
      <c r="AR39" s="39"/>
      <c r="AS39" s="40"/>
      <c r="AT39" s="40"/>
      <c r="AU39" s="40"/>
      <c r="AV39" s="40"/>
      <c r="AW39" s="40"/>
      <c r="AX39" s="40"/>
      <c r="AY39" s="41"/>
      <c r="BA39" s="39"/>
      <c r="BB39" s="40"/>
      <c r="BC39" s="40"/>
      <c r="BD39" s="40"/>
      <c r="BE39" s="40"/>
      <c r="BF39" s="40"/>
      <c r="BG39" s="40"/>
      <c r="BH39" s="41"/>
      <c r="BJ39" s="45"/>
      <c r="BK39" s="46"/>
      <c r="BL39" s="46"/>
      <c r="BM39" s="46"/>
      <c r="BN39" s="46"/>
      <c r="BO39" s="46"/>
      <c r="BP39" s="46"/>
      <c r="BQ39" s="47"/>
      <c r="BS39" s="45"/>
      <c r="BT39" s="46"/>
      <c r="BU39" s="46"/>
      <c r="BV39" s="46"/>
      <c r="BW39" s="46"/>
      <c r="BX39" s="46"/>
      <c r="BY39" s="46"/>
      <c r="BZ39" s="47"/>
      <c r="CB39" s="62" t="s">
        <v>57</v>
      </c>
      <c r="CC39" s="63"/>
      <c r="CD39" s="63"/>
      <c r="CE39" s="63"/>
      <c r="CF39" s="63"/>
      <c r="CG39" s="64"/>
    </row>
    <row r="40" spans="3:85" x14ac:dyDescent="0.25">
      <c r="C40" s="51"/>
      <c r="D40" s="51"/>
      <c r="E40" s="51"/>
      <c r="F40" s="51"/>
      <c r="H40" s="42"/>
      <c r="I40" s="43"/>
      <c r="J40" s="43"/>
      <c r="K40" s="43"/>
      <c r="L40" s="43"/>
      <c r="M40" s="43"/>
      <c r="N40" s="43"/>
      <c r="O40" s="44"/>
      <c r="Q40" s="42"/>
      <c r="R40" s="43"/>
      <c r="S40" s="43"/>
      <c r="T40" s="43"/>
      <c r="U40" s="43"/>
      <c r="V40" s="43"/>
      <c r="W40" s="43"/>
      <c r="X40" s="44"/>
      <c r="Z40" s="42"/>
      <c r="AA40" s="43"/>
      <c r="AB40" s="43"/>
      <c r="AC40" s="43"/>
      <c r="AD40" s="43"/>
      <c r="AE40" s="43"/>
      <c r="AF40" s="43"/>
      <c r="AG40" s="44"/>
      <c r="AI40" s="42"/>
      <c r="AJ40" s="43"/>
      <c r="AK40" s="43"/>
      <c r="AL40" s="43"/>
      <c r="AM40" s="43"/>
      <c r="AN40" s="43"/>
      <c r="AO40" s="43"/>
      <c r="AP40" s="44"/>
      <c r="AR40" s="42"/>
      <c r="AS40" s="43"/>
      <c r="AT40" s="43"/>
      <c r="AU40" s="43"/>
      <c r="AV40" s="43"/>
      <c r="AW40" s="43"/>
      <c r="AX40" s="43"/>
      <c r="AY40" s="44"/>
      <c r="BA40" s="42"/>
      <c r="BB40" s="43"/>
      <c r="BC40" s="43"/>
      <c r="BD40" s="43"/>
      <c r="BE40" s="43"/>
      <c r="BF40" s="43"/>
      <c r="BG40" s="43"/>
      <c r="BH40" s="44"/>
      <c r="BJ40" s="48"/>
      <c r="BK40" s="49"/>
      <c r="BL40" s="49"/>
      <c r="BM40" s="49"/>
      <c r="BN40" s="49"/>
      <c r="BO40" s="49"/>
      <c r="BP40" s="49"/>
      <c r="BQ40" s="50"/>
      <c r="BS40" s="48"/>
      <c r="BT40" s="49"/>
      <c r="BU40" s="49"/>
      <c r="BV40" s="49"/>
      <c r="BW40" s="49"/>
      <c r="BX40" s="49"/>
      <c r="BY40" s="49"/>
      <c r="BZ40" s="50"/>
      <c r="CB40" s="16" t="s">
        <v>18</v>
      </c>
      <c r="CC40" s="14">
        <f t="array" aca="1" ref="CC40" ca="1">SUM(IF(ISNUMBER(SEARCH("Asignatura", $I$6:OFFSET(CC$6,0,-1))), I41:OFFSET(CC41,0,-1), 0))*16</f>
        <v>0</v>
      </c>
      <c r="CD40" s="17" t="s">
        <v>19</v>
      </c>
      <c r="CE40" s="14">
        <f t="array" aca="1" ref="CE40" ca="1">SUM(IF(ISNUMBER(SEARCH("Asignatura", $I$6:OFFSET(CE$6,0,-1))), K41:OFFSET(CE41,0,-1), 0))*16</f>
        <v>0</v>
      </c>
      <c r="CF40" s="17" t="s">
        <v>20</v>
      </c>
      <c r="CG40" s="15">
        <f t="array" aca="1" ref="CG40" ca="1">SUM(IF(ISNUMBER(SEARCH("Asignatura", $I$6:OFFSET(CG$6,0,-1))), M41:OFFSET(CG41,0,-1), 0))*16</f>
        <v>0</v>
      </c>
    </row>
    <row r="41" spans="3:85" ht="15.75" thickBot="1" x14ac:dyDescent="0.3">
      <c r="H41" s="24" t="s">
        <v>18</v>
      </c>
      <c r="I41" s="25"/>
      <c r="J41" s="26" t="s">
        <v>19</v>
      </c>
      <c r="K41" s="25"/>
      <c r="L41" s="26" t="s">
        <v>20</v>
      </c>
      <c r="M41" s="25"/>
      <c r="N41" s="26" t="s">
        <v>50</v>
      </c>
      <c r="O41" s="27">
        <f>SUM(I41+K41+M41)*16</f>
        <v>0</v>
      </c>
      <c r="Q41" s="24" t="s">
        <v>18</v>
      </c>
      <c r="R41" s="25"/>
      <c r="S41" s="26" t="s">
        <v>19</v>
      </c>
      <c r="T41" s="25"/>
      <c r="U41" s="26" t="s">
        <v>20</v>
      </c>
      <c r="V41" s="25"/>
      <c r="W41" s="26" t="s">
        <v>50</v>
      </c>
      <c r="X41" s="27">
        <f>SUM(R41+T41+V41)*16</f>
        <v>0</v>
      </c>
      <c r="Z41" s="24" t="s">
        <v>18</v>
      </c>
      <c r="AA41" s="25"/>
      <c r="AB41" s="26" t="s">
        <v>19</v>
      </c>
      <c r="AC41" s="25"/>
      <c r="AD41" s="26" t="s">
        <v>20</v>
      </c>
      <c r="AE41" s="25"/>
      <c r="AF41" s="26" t="s">
        <v>50</v>
      </c>
      <c r="AG41" s="27">
        <f>SUM(AA41+AC41+AE41)*16</f>
        <v>0</v>
      </c>
      <c r="AI41" s="24" t="s">
        <v>18</v>
      </c>
      <c r="AJ41" s="25"/>
      <c r="AK41" s="26" t="s">
        <v>19</v>
      </c>
      <c r="AL41" s="25"/>
      <c r="AM41" s="26" t="s">
        <v>20</v>
      </c>
      <c r="AN41" s="25"/>
      <c r="AO41" s="26" t="s">
        <v>50</v>
      </c>
      <c r="AP41" s="27">
        <f>SUM(AJ41+AL41+AN41)*16</f>
        <v>0</v>
      </c>
      <c r="AR41" s="24" t="s">
        <v>18</v>
      </c>
      <c r="AS41" s="25"/>
      <c r="AT41" s="26" t="s">
        <v>19</v>
      </c>
      <c r="AU41" s="25"/>
      <c r="AV41" s="26" t="s">
        <v>20</v>
      </c>
      <c r="AW41" s="25"/>
      <c r="AX41" s="26" t="s">
        <v>50</v>
      </c>
      <c r="AY41" s="27">
        <f>SUM(AS41+AU41+AW41)*16</f>
        <v>0</v>
      </c>
      <c r="BA41" s="24" t="s">
        <v>18</v>
      </c>
      <c r="BB41" s="25"/>
      <c r="BC41" s="26" t="s">
        <v>19</v>
      </c>
      <c r="BD41" s="25"/>
      <c r="BE41" s="26" t="s">
        <v>20</v>
      </c>
      <c r="BF41" s="25"/>
      <c r="BG41" s="26" t="s">
        <v>50</v>
      </c>
      <c r="BH41" s="27">
        <f>SUM(BB41+BD41+BF41)*16</f>
        <v>0</v>
      </c>
      <c r="BJ41" s="24" t="s">
        <v>18</v>
      </c>
      <c r="BK41" s="25"/>
      <c r="BL41" s="26" t="s">
        <v>19</v>
      </c>
      <c r="BM41" s="25"/>
      <c r="BN41" s="26" t="s">
        <v>20</v>
      </c>
      <c r="BO41" s="25"/>
      <c r="BP41" s="26" t="s">
        <v>50</v>
      </c>
      <c r="BQ41" s="27">
        <f>SUM(BK41+BM41+BO41)*16</f>
        <v>0</v>
      </c>
      <c r="BS41" s="24" t="s">
        <v>18</v>
      </c>
      <c r="BT41" s="25"/>
      <c r="BU41" s="26" t="s">
        <v>19</v>
      </c>
      <c r="BV41" s="25"/>
      <c r="BW41" s="26" t="s">
        <v>20</v>
      </c>
      <c r="BX41" s="25"/>
      <c r="BY41" s="26" t="s">
        <v>50</v>
      </c>
      <c r="BZ41" s="27">
        <f>SUM(BT41+BV41+BX41)*16</f>
        <v>0</v>
      </c>
      <c r="CB41" s="65" t="s">
        <v>40</v>
      </c>
      <c r="CC41" s="51"/>
      <c r="CD41" s="51"/>
      <c r="CE41" s="51">
        <f ca="1">CE42*3*16</f>
        <v>0</v>
      </c>
      <c r="CF41" s="51"/>
      <c r="CG41" s="68"/>
    </row>
    <row r="42" spans="3:85" ht="15.75" thickBot="1" x14ac:dyDescent="0.3">
      <c r="N42" s="28" t="s">
        <v>51</v>
      </c>
      <c r="O42" s="19">
        <f>(I41+K41+M41)/3</f>
        <v>0</v>
      </c>
      <c r="W42" s="28" t="s">
        <v>51</v>
      </c>
      <c r="X42" s="19">
        <f>(R41+T41+V41)/3</f>
        <v>0</v>
      </c>
      <c r="AF42" s="28" t="s">
        <v>51</v>
      </c>
      <c r="AG42" s="19">
        <f>(AA41+AC41+AE41)/3</f>
        <v>0</v>
      </c>
      <c r="AO42" s="28" t="s">
        <v>51</v>
      </c>
      <c r="AP42" s="19">
        <f>(AJ41+AL41+AN41)/3</f>
        <v>0</v>
      </c>
      <c r="AX42" s="28" t="s">
        <v>51</v>
      </c>
      <c r="AY42" s="19">
        <f>(AS41+AU41+AW41)/3</f>
        <v>0</v>
      </c>
      <c r="BG42" s="28" t="s">
        <v>51</v>
      </c>
      <c r="BH42" s="19">
        <f>(BB41+BD41+BF41)/3</f>
        <v>0</v>
      </c>
      <c r="BP42" s="28" t="s">
        <v>51</v>
      </c>
      <c r="BQ42" s="19">
        <f>(BK41+BM41+BO41)/3</f>
        <v>0</v>
      </c>
      <c r="BY42" s="28" t="s">
        <v>51</v>
      </c>
      <c r="BZ42" s="19">
        <f>(BT41+BV41+BX41)/3</f>
        <v>0</v>
      </c>
      <c r="CB42" s="66" t="s">
        <v>21</v>
      </c>
      <c r="CC42" s="67"/>
      <c r="CD42" s="67"/>
      <c r="CE42" s="54">
        <f ca="1">SUM(IF(MOD(COLUMN(O42:OFFSET(CE42,0,-1)) - COLUMN(O42), 9) = 0, O42:OFFSET(CE42,0,-1), 0))</f>
        <v>0</v>
      </c>
      <c r="CF42" s="54"/>
      <c r="CG42" s="55"/>
    </row>
    <row r="43" spans="3:85" ht="15.75" thickBot="1" x14ac:dyDescent="0.3"/>
    <row r="44" spans="3:85" ht="15" customHeight="1" x14ac:dyDescent="0.25">
      <c r="C44" s="51" t="s">
        <v>28</v>
      </c>
      <c r="D44" s="51"/>
      <c r="E44" s="51"/>
      <c r="F44" s="51"/>
      <c r="H44" s="39"/>
      <c r="I44" s="40"/>
      <c r="J44" s="40"/>
      <c r="K44" s="40"/>
      <c r="L44" s="40"/>
      <c r="M44" s="40"/>
      <c r="N44" s="40"/>
      <c r="O44" s="41"/>
      <c r="Q44" s="39"/>
      <c r="R44" s="40"/>
      <c r="S44" s="40"/>
      <c r="T44" s="40"/>
      <c r="U44" s="40"/>
      <c r="V44" s="40"/>
      <c r="W44" s="40"/>
      <c r="X44" s="41"/>
      <c r="Z44" s="39"/>
      <c r="AA44" s="40"/>
      <c r="AB44" s="40"/>
      <c r="AC44" s="40"/>
      <c r="AD44" s="40"/>
      <c r="AE44" s="40"/>
      <c r="AF44" s="40"/>
      <c r="AG44" s="41"/>
      <c r="AI44" s="39"/>
      <c r="AJ44" s="40"/>
      <c r="AK44" s="40"/>
      <c r="AL44" s="40"/>
      <c r="AM44" s="40"/>
      <c r="AN44" s="40"/>
      <c r="AO44" s="40"/>
      <c r="AP44" s="41"/>
      <c r="AR44" s="39"/>
      <c r="AS44" s="40"/>
      <c r="AT44" s="40"/>
      <c r="AU44" s="40"/>
      <c r="AV44" s="40"/>
      <c r="AW44" s="40"/>
      <c r="AX44" s="40"/>
      <c r="AY44" s="41"/>
      <c r="BA44" s="39"/>
      <c r="BB44" s="40"/>
      <c r="BC44" s="40"/>
      <c r="BD44" s="40"/>
      <c r="BE44" s="40"/>
      <c r="BF44" s="40"/>
      <c r="BG44" s="40"/>
      <c r="BH44" s="41"/>
      <c r="BJ44" s="45"/>
      <c r="BK44" s="46"/>
      <c r="BL44" s="46"/>
      <c r="BM44" s="46"/>
      <c r="BN44" s="46"/>
      <c r="BO44" s="46"/>
      <c r="BP44" s="46"/>
      <c r="BQ44" s="47"/>
      <c r="BS44" s="45"/>
      <c r="BT44" s="46"/>
      <c r="BU44" s="46"/>
      <c r="BV44" s="46"/>
      <c r="BW44" s="46"/>
      <c r="BX44" s="46"/>
      <c r="BY44" s="46"/>
      <c r="BZ44" s="47"/>
      <c r="CB44" s="62" t="s">
        <v>58</v>
      </c>
      <c r="CC44" s="63"/>
      <c r="CD44" s="63"/>
      <c r="CE44" s="63"/>
      <c r="CF44" s="63"/>
      <c r="CG44" s="64"/>
    </row>
    <row r="45" spans="3:85" x14ac:dyDescent="0.25">
      <c r="C45" s="51"/>
      <c r="D45" s="51"/>
      <c r="E45" s="51"/>
      <c r="F45" s="51"/>
      <c r="H45" s="42"/>
      <c r="I45" s="43"/>
      <c r="J45" s="43"/>
      <c r="K45" s="43"/>
      <c r="L45" s="43"/>
      <c r="M45" s="43"/>
      <c r="N45" s="43"/>
      <c r="O45" s="44"/>
      <c r="Q45" s="42"/>
      <c r="R45" s="43"/>
      <c r="S45" s="43"/>
      <c r="T45" s="43"/>
      <c r="U45" s="43"/>
      <c r="V45" s="43"/>
      <c r="W45" s="43"/>
      <c r="X45" s="44"/>
      <c r="Z45" s="42"/>
      <c r="AA45" s="43"/>
      <c r="AB45" s="43"/>
      <c r="AC45" s="43"/>
      <c r="AD45" s="43"/>
      <c r="AE45" s="43"/>
      <c r="AF45" s="43"/>
      <c r="AG45" s="44"/>
      <c r="AI45" s="42"/>
      <c r="AJ45" s="43"/>
      <c r="AK45" s="43"/>
      <c r="AL45" s="43"/>
      <c r="AM45" s="43"/>
      <c r="AN45" s="43"/>
      <c r="AO45" s="43"/>
      <c r="AP45" s="44"/>
      <c r="AR45" s="42"/>
      <c r="AS45" s="43"/>
      <c r="AT45" s="43"/>
      <c r="AU45" s="43"/>
      <c r="AV45" s="43"/>
      <c r="AW45" s="43"/>
      <c r="AX45" s="43"/>
      <c r="AY45" s="44"/>
      <c r="BA45" s="42"/>
      <c r="BB45" s="43"/>
      <c r="BC45" s="43"/>
      <c r="BD45" s="43"/>
      <c r="BE45" s="43"/>
      <c r="BF45" s="43"/>
      <c r="BG45" s="43"/>
      <c r="BH45" s="44"/>
      <c r="BJ45" s="48"/>
      <c r="BK45" s="49"/>
      <c r="BL45" s="49"/>
      <c r="BM45" s="49"/>
      <c r="BN45" s="49"/>
      <c r="BO45" s="49"/>
      <c r="BP45" s="49"/>
      <c r="BQ45" s="50"/>
      <c r="BS45" s="48"/>
      <c r="BT45" s="49"/>
      <c r="BU45" s="49"/>
      <c r="BV45" s="49"/>
      <c r="BW45" s="49"/>
      <c r="BX45" s="49"/>
      <c r="BY45" s="49"/>
      <c r="BZ45" s="50"/>
      <c r="CB45" s="16" t="s">
        <v>18</v>
      </c>
      <c r="CC45" s="14">
        <f t="array" aca="1" ref="CC45" ca="1">SUM(IF(ISNUMBER(SEARCH("Asignatura", $I$6:OFFSET(CC$6,0,-1))), I46:OFFSET(CC46,0,-1), 0))*16</f>
        <v>0</v>
      </c>
      <c r="CD45" s="17" t="s">
        <v>19</v>
      </c>
      <c r="CE45" s="14">
        <f t="array" aca="1" ref="CE45" ca="1">SUM(IF(ISNUMBER(SEARCH("Asignatura", $I$6:OFFSET(CE$6,0,-1))), K46:OFFSET(CE46,0,-1), 0))*16</f>
        <v>0</v>
      </c>
      <c r="CF45" s="17" t="s">
        <v>20</v>
      </c>
      <c r="CG45" s="15">
        <f t="array" aca="1" ref="CG45" ca="1">SUM(IF(ISNUMBER(SEARCH("Asignatura", $I$6:OFFSET(CG$6,0,-1))), M46:OFFSET(CG46,0,-1), 0))*16</f>
        <v>0</v>
      </c>
    </row>
    <row r="46" spans="3:85" ht="15.75" thickBot="1" x14ac:dyDescent="0.3">
      <c r="H46" s="24" t="s">
        <v>18</v>
      </c>
      <c r="I46" s="25"/>
      <c r="J46" s="26" t="s">
        <v>19</v>
      </c>
      <c r="K46" s="25"/>
      <c r="L46" s="26" t="s">
        <v>20</v>
      </c>
      <c r="M46" s="25"/>
      <c r="N46" s="26" t="s">
        <v>50</v>
      </c>
      <c r="O46" s="27">
        <f>SUM(I46+K46+M46)*16</f>
        <v>0</v>
      </c>
      <c r="Q46" s="24" t="s">
        <v>18</v>
      </c>
      <c r="R46" s="25"/>
      <c r="S46" s="26" t="s">
        <v>19</v>
      </c>
      <c r="T46" s="25"/>
      <c r="U46" s="26" t="s">
        <v>20</v>
      </c>
      <c r="V46" s="25"/>
      <c r="W46" s="26" t="s">
        <v>50</v>
      </c>
      <c r="X46" s="27">
        <f>SUM(R46+T46+V46)*16</f>
        <v>0</v>
      </c>
      <c r="Z46" s="24" t="s">
        <v>18</v>
      </c>
      <c r="AA46" s="25"/>
      <c r="AB46" s="26" t="s">
        <v>19</v>
      </c>
      <c r="AC46" s="25"/>
      <c r="AD46" s="26" t="s">
        <v>20</v>
      </c>
      <c r="AE46" s="25"/>
      <c r="AF46" s="26" t="s">
        <v>50</v>
      </c>
      <c r="AG46" s="27">
        <f>SUM(AA46+AC46+AE46)*16</f>
        <v>0</v>
      </c>
      <c r="AI46" s="24" t="s">
        <v>18</v>
      </c>
      <c r="AJ46" s="25"/>
      <c r="AK46" s="26" t="s">
        <v>19</v>
      </c>
      <c r="AL46" s="25"/>
      <c r="AM46" s="26" t="s">
        <v>20</v>
      </c>
      <c r="AN46" s="25"/>
      <c r="AO46" s="26" t="s">
        <v>50</v>
      </c>
      <c r="AP46" s="27">
        <f>SUM(AJ46+AL46+AN46)*16</f>
        <v>0</v>
      </c>
      <c r="AR46" s="24" t="s">
        <v>18</v>
      </c>
      <c r="AS46" s="25"/>
      <c r="AT46" s="26" t="s">
        <v>19</v>
      </c>
      <c r="AU46" s="25"/>
      <c r="AV46" s="26" t="s">
        <v>20</v>
      </c>
      <c r="AW46" s="25"/>
      <c r="AX46" s="26" t="s">
        <v>50</v>
      </c>
      <c r="AY46" s="27">
        <f>SUM(AS46+AU46+AW46)*16</f>
        <v>0</v>
      </c>
      <c r="BA46" s="24" t="s">
        <v>18</v>
      </c>
      <c r="BB46" s="25"/>
      <c r="BC46" s="26" t="s">
        <v>19</v>
      </c>
      <c r="BD46" s="25"/>
      <c r="BE46" s="26" t="s">
        <v>20</v>
      </c>
      <c r="BF46" s="25"/>
      <c r="BG46" s="26" t="s">
        <v>50</v>
      </c>
      <c r="BH46" s="27">
        <f>SUM(BB46+BD46+BF46)*16</f>
        <v>0</v>
      </c>
      <c r="BJ46" s="24" t="s">
        <v>18</v>
      </c>
      <c r="BK46" s="25"/>
      <c r="BL46" s="26" t="s">
        <v>19</v>
      </c>
      <c r="BM46" s="25"/>
      <c r="BN46" s="26" t="s">
        <v>20</v>
      </c>
      <c r="BO46" s="25"/>
      <c r="BP46" s="26" t="s">
        <v>50</v>
      </c>
      <c r="BQ46" s="27">
        <f>SUM(BK46+BM46+BO46)*16</f>
        <v>0</v>
      </c>
      <c r="BS46" s="24" t="s">
        <v>18</v>
      </c>
      <c r="BT46" s="25"/>
      <c r="BU46" s="26" t="s">
        <v>19</v>
      </c>
      <c r="BV46" s="25"/>
      <c r="BW46" s="26" t="s">
        <v>20</v>
      </c>
      <c r="BX46" s="25"/>
      <c r="BY46" s="26" t="s">
        <v>50</v>
      </c>
      <c r="BZ46" s="27">
        <f>SUM(BT46+BV46+BX46)*16</f>
        <v>0</v>
      </c>
      <c r="CB46" s="65" t="s">
        <v>40</v>
      </c>
      <c r="CC46" s="51"/>
      <c r="CD46" s="51"/>
      <c r="CE46" s="51">
        <f ca="1">CE47*3*16</f>
        <v>0</v>
      </c>
      <c r="CF46" s="51"/>
      <c r="CG46" s="68"/>
    </row>
    <row r="47" spans="3:85" ht="15.75" thickBot="1" x14ac:dyDescent="0.3">
      <c r="N47" s="28" t="s">
        <v>51</v>
      </c>
      <c r="O47" s="19">
        <f>(I46+K46+M46)/3</f>
        <v>0</v>
      </c>
      <c r="W47" s="28" t="s">
        <v>51</v>
      </c>
      <c r="X47" s="19">
        <f>(R46+T46+V46)/3</f>
        <v>0</v>
      </c>
      <c r="AF47" s="28" t="s">
        <v>51</v>
      </c>
      <c r="AG47" s="19">
        <f>(AA46+AC46+AE46)/3</f>
        <v>0</v>
      </c>
      <c r="AO47" s="28" t="s">
        <v>51</v>
      </c>
      <c r="AP47" s="19">
        <f>(AJ46+AL46+AN46)/3</f>
        <v>0</v>
      </c>
      <c r="AX47" s="28" t="s">
        <v>51</v>
      </c>
      <c r="AY47" s="19">
        <f>(AS46+AU46+AW46)/3</f>
        <v>0</v>
      </c>
      <c r="BG47" s="28" t="s">
        <v>51</v>
      </c>
      <c r="BH47" s="19">
        <f>(BB46+BD46+BF46)/3</f>
        <v>0</v>
      </c>
      <c r="BP47" s="28" t="s">
        <v>51</v>
      </c>
      <c r="BQ47" s="19">
        <f>(BK46+BM46+BO46)/3</f>
        <v>0</v>
      </c>
      <c r="BY47" s="28" t="s">
        <v>51</v>
      </c>
      <c r="BZ47" s="19">
        <f>(BT46+BV46+BX46)/3</f>
        <v>0</v>
      </c>
      <c r="CB47" s="66" t="s">
        <v>21</v>
      </c>
      <c r="CC47" s="67"/>
      <c r="CD47" s="67"/>
      <c r="CE47" s="54">
        <f ca="1">SUM(IF(MOD(COLUMN(O47:OFFSET(CE47,0,-1)) - COLUMN(O47), 9) = 0, O47:OFFSET(CE47,0,-1), 0))</f>
        <v>0</v>
      </c>
      <c r="CF47" s="54"/>
      <c r="CG47" s="55"/>
    </row>
    <row r="48" spans="3:85" ht="15.75" thickBot="1" x14ac:dyDescent="0.3">
      <c r="CB48" s="18"/>
      <c r="CC48" s="18"/>
      <c r="CD48" s="18"/>
      <c r="CE48" s="18"/>
      <c r="CF48" s="18"/>
      <c r="CG48" s="18"/>
    </row>
    <row r="49" spans="3:119" ht="15" customHeight="1" x14ac:dyDescent="0.25">
      <c r="C49" s="51" t="s">
        <v>48</v>
      </c>
      <c r="D49" s="51"/>
      <c r="E49" s="51"/>
      <c r="F49" s="51"/>
      <c r="H49" s="39"/>
      <c r="I49" s="40"/>
      <c r="J49" s="40"/>
      <c r="K49" s="40"/>
      <c r="L49" s="40"/>
      <c r="M49" s="40"/>
      <c r="N49" s="40"/>
      <c r="O49" s="41"/>
      <c r="Q49" s="39"/>
      <c r="R49" s="40"/>
      <c r="S49" s="40"/>
      <c r="T49" s="40"/>
      <c r="U49" s="40"/>
      <c r="V49" s="40"/>
      <c r="W49" s="40"/>
      <c r="X49" s="41"/>
      <c r="Z49" s="39"/>
      <c r="AA49" s="40"/>
      <c r="AB49" s="40"/>
      <c r="AC49" s="40"/>
      <c r="AD49" s="40"/>
      <c r="AE49" s="40"/>
      <c r="AF49" s="40"/>
      <c r="AG49" s="41"/>
      <c r="AI49" s="39"/>
      <c r="AJ49" s="40"/>
      <c r="AK49" s="40"/>
      <c r="AL49" s="40"/>
      <c r="AM49" s="40"/>
      <c r="AN49" s="40"/>
      <c r="AO49" s="40"/>
      <c r="AP49" s="41"/>
      <c r="AR49" s="39"/>
      <c r="AS49" s="40"/>
      <c r="AT49" s="40"/>
      <c r="AU49" s="40"/>
      <c r="AV49" s="40"/>
      <c r="AW49" s="40"/>
      <c r="AX49" s="40"/>
      <c r="AY49" s="41"/>
      <c r="BA49" s="39"/>
      <c r="BB49" s="40"/>
      <c r="BC49" s="40"/>
      <c r="BD49" s="40"/>
      <c r="BE49" s="40"/>
      <c r="BF49" s="40"/>
      <c r="BG49" s="40"/>
      <c r="BH49" s="41"/>
      <c r="BJ49" s="45"/>
      <c r="BK49" s="46"/>
      <c r="BL49" s="46"/>
      <c r="BM49" s="46"/>
      <c r="BN49" s="46"/>
      <c r="BO49" s="46"/>
      <c r="BP49" s="46"/>
      <c r="BQ49" s="47"/>
      <c r="BS49" s="45"/>
      <c r="BT49" s="46"/>
      <c r="BU49" s="46"/>
      <c r="BV49" s="46"/>
      <c r="BW49" s="46"/>
      <c r="BX49" s="46"/>
      <c r="BY49" s="46"/>
      <c r="BZ49" s="47"/>
      <c r="CB49" s="62" t="s">
        <v>59</v>
      </c>
      <c r="CC49" s="63"/>
      <c r="CD49" s="63"/>
      <c r="CE49" s="63"/>
      <c r="CF49" s="63"/>
      <c r="CG49" s="64"/>
    </row>
    <row r="50" spans="3:119" x14ac:dyDescent="0.25">
      <c r="C50" s="51"/>
      <c r="D50" s="51"/>
      <c r="E50" s="51"/>
      <c r="F50" s="51"/>
      <c r="H50" s="42"/>
      <c r="I50" s="43"/>
      <c r="J50" s="43"/>
      <c r="K50" s="43"/>
      <c r="L50" s="43"/>
      <c r="M50" s="43"/>
      <c r="N50" s="43"/>
      <c r="O50" s="44"/>
      <c r="Q50" s="42"/>
      <c r="R50" s="43"/>
      <c r="S50" s="43"/>
      <c r="T50" s="43"/>
      <c r="U50" s="43"/>
      <c r="V50" s="43"/>
      <c r="W50" s="43"/>
      <c r="X50" s="44"/>
      <c r="Z50" s="42"/>
      <c r="AA50" s="43"/>
      <c r="AB50" s="43"/>
      <c r="AC50" s="43"/>
      <c r="AD50" s="43"/>
      <c r="AE50" s="43"/>
      <c r="AF50" s="43"/>
      <c r="AG50" s="44"/>
      <c r="AI50" s="42"/>
      <c r="AJ50" s="43"/>
      <c r="AK50" s="43"/>
      <c r="AL50" s="43"/>
      <c r="AM50" s="43"/>
      <c r="AN50" s="43"/>
      <c r="AO50" s="43"/>
      <c r="AP50" s="44"/>
      <c r="AR50" s="42"/>
      <c r="AS50" s="43"/>
      <c r="AT50" s="43"/>
      <c r="AU50" s="43"/>
      <c r="AV50" s="43"/>
      <c r="AW50" s="43"/>
      <c r="AX50" s="43"/>
      <c r="AY50" s="44"/>
      <c r="BA50" s="42"/>
      <c r="BB50" s="43"/>
      <c r="BC50" s="43"/>
      <c r="BD50" s="43"/>
      <c r="BE50" s="43"/>
      <c r="BF50" s="43"/>
      <c r="BG50" s="43"/>
      <c r="BH50" s="44"/>
      <c r="BJ50" s="48"/>
      <c r="BK50" s="49"/>
      <c r="BL50" s="49"/>
      <c r="BM50" s="49"/>
      <c r="BN50" s="49"/>
      <c r="BO50" s="49"/>
      <c r="BP50" s="49"/>
      <c r="BQ50" s="50"/>
      <c r="BS50" s="48"/>
      <c r="BT50" s="49"/>
      <c r="BU50" s="49"/>
      <c r="BV50" s="49"/>
      <c r="BW50" s="49"/>
      <c r="BX50" s="49"/>
      <c r="BY50" s="49"/>
      <c r="BZ50" s="50"/>
      <c r="CB50" s="16" t="s">
        <v>18</v>
      </c>
      <c r="CC50" s="14">
        <f t="array" aca="1" ref="CC50" ca="1">SUM(IF(ISNUMBER(SEARCH("Asignatura", $I$6:OFFSET(CC$6,0,-1))), I51:OFFSET(CC51,0,-1), 0))*16</f>
        <v>0</v>
      </c>
      <c r="CD50" s="17" t="s">
        <v>19</v>
      </c>
      <c r="CE50" s="14">
        <f t="array" aca="1" ref="CE50" ca="1">SUM(IF(ISNUMBER(SEARCH("Asignatura", $I$6:OFFSET(CE$6,0,-1))), K51:OFFSET(CE51,0,-1), 0))*16</f>
        <v>0</v>
      </c>
      <c r="CF50" s="17" t="s">
        <v>20</v>
      </c>
      <c r="CG50" s="15">
        <f t="array" aca="1" ref="CG50" ca="1">SUM(IF(ISNUMBER(SEARCH("Asignatura", $I$6:OFFSET(CG$6,0,-1))), M51:OFFSET(CG51,0,-1), 0))*16</f>
        <v>0</v>
      </c>
    </row>
    <row r="51" spans="3:119" ht="15.75" thickBot="1" x14ac:dyDescent="0.3">
      <c r="H51" s="24" t="s">
        <v>18</v>
      </c>
      <c r="I51" s="25"/>
      <c r="J51" s="26" t="s">
        <v>19</v>
      </c>
      <c r="K51" s="25"/>
      <c r="L51" s="26" t="s">
        <v>20</v>
      </c>
      <c r="M51" s="25"/>
      <c r="N51" s="26" t="s">
        <v>50</v>
      </c>
      <c r="O51" s="27">
        <f>SUM(I51+K51+M51)*16</f>
        <v>0</v>
      </c>
      <c r="Q51" s="24" t="s">
        <v>18</v>
      </c>
      <c r="R51" s="25"/>
      <c r="S51" s="26" t="s">
        <v>19</v>
      </c>
      <c r="T51" s="25"/>
      <c r="U51" s="26" t="s">
        <v>20</v>
      </c>
      <c r="V51" s="25"/>
      <c r="W51" s="26" t="s">
        <v>50</v>
      </c>
      <c r="X51" s="27">
        <f>SUM(R51+T51+V51)*16</f>
        <v>0</v>
      </c>
      <c r="Z51" s="24" t="s">
        <v>18</v>
      </c>
      <c r="AA51" s="25"/>
      <c r="AB51" s="26" t="s">
        <v>19</v>
      </c>
      <c r="AC51" s="25"/>
      <c r="AD51" s="26" t="s">
        <v>20</v>
      </c>
      <c r="AE51" s="25"/>
      <c r="AF51" s="26" t="s">
        <v>50</v>
      </c>
      <c r="AG51" s="27">
        <f>SUM(AA51+AC51+AE51)*16</f>
        <v>0</v>
      </c>
      <c r="AI51" s="24" t="s">
        <v>18</v>
      </c>
      <c r="AJ51" s="25"/>
      <c r="AK51" s="26" t="s">
        <v>19</v>
      </c>
      <c r="AL51" s="25"/>
      <c r="AM51" s="26" t="s">
        <v>20</v>
      </c>
      <c r="AN51" s="25"/>
      <c r="AO51" s="26" t="s">
        <v>50</v>
      </c>
      <c r="AP51" s="27">
        <f>SUM(AJ51+AL51+AN51)*16</f>
        <v>0</v>
      </c>
      <c r="AR51" s="24" t="s">
        <v>18</v>
      </c>
      <c r="AS51" s="25"/>
      <c r="AT51" s="26" t="s">
        <v>19</v>
      </c>
      <c r="AU51" s="25"/>
      <c r="AV51" s="26" t="s">
        <v>20</v>
      </c>
      <c r="AW51" s="25"/>
      <c r="AX51" s="26" t="s">
        <v>50</v>
      </c>
      <c r="AY51" s="27">
        <f>SUM(AS51+AU51+AW51)*16</f>
        <v>0</v>
      </c>
      <c r="BA51" s="24" t="s">
        <v>18</v>
      </c>
      <c r="BB51" s="25"/>
      <c r="BC51" s="26" t="s">
        <v>19</v>
      </c>
      <c r="BD51" s="25"/>
      <c r="BE51" s="26" t="s">
        <v>20</v>
      </c>
      <c r="BF51" s="25"/>
      <c r="BG51" s="26" t="s">
        <v>50</v>
      </c>
      <c r="BH51" s="27">
        <f>SUM(BB51+BD51+BF51)*16</f>
        <v>0</v>
      </c>
      <c r="BJ51" s="24" t="s">
        <v>18</v>
      </c>
      <c r="BK51" s="25"/>
      <c r="BL51" s="26" t="s">
        <v>19</v>
      </c>
      <c r="BM51" s="25"/>
      <c r="BN51" s="26" t="s">
        <v>20</v>
      </c>
      <c r="BO51" s="25"/>
      <c r="BP51" s="26" t="s">
        <v>50</v>
      </c>
      <c r="BQ51" s="27">
        <f>SUM(BK51+BM51+BO51)*16</f>
        <v>0</v>
      </c>
      <c r="BS51" s="24" t="s">
        <v>18</v>
      </c>
      <c r="BT51" s="25"/>
      <c r="BU51" s="26" t="s">
        <v>19</v>
      </c>
      <c r="BV51" s="25"/>
      <c r="BW51" s="26" t="s">
        <v>20</v>
      </c>
      <c r="BX51" s="25"/>
      <c r="BY51" s="26" t="s">
        <v>50</v>
      </c>
      <c r="BZ51" s="27">
        <f>SUM(BT51+BV51+BX51)*16</f>
        <v>0</v>
      </c>
      <c r="CB51" s="65" t="s">
        <v>40</v>
      </c>
      <c r="CC51" s="51"/>
      <c r="CD51" s="51"/>
      <c r="CE51" s="51">
        <f ca="1">CE52*3*16</f>
        <v>0</v>
      </c>
      <c r="CF51" s="51"/>
      <c r="CG51" s="68"/>
      <c r="CN51" s="18"/>
      <c r="CW51" s="18"/>
      <c r="DF51" s="18"/>
      <c r="DO51" s="18"/>
    </row>
    <row r="52" spans="3:119" ht="15.75" thickBot="1" x14ac:dyDescent="0.3">
      <c r="N52" s="28" t="s">
        <v>51</v>
      </c>
      <c r="O52" s="19">
        <f>(I51+K51+M51)/3</f>
        <v>0</v>
      </c>
      <c r="W52" s="28" t="s">
        <v>51</v>
      </c>
      <c r="X52" s="19">
        <f>(R51+T51+V51)/3</f>
        <v>0</v>
      </c>
      <c r="AF52" s="28" t="s">
        <v>51</v>
      </c>
      <c r="AG52" s="19">
        <f>(AA51+AC51+AE51)/3</f>
        <v>0</v>
      </c>
      <c r="AO52" s="28" t="s">
        <v>51</v>
      </c>
      <c r="AP52" s="19">
        <f>(AJ51+AL51+AN51)/3</f>
        <v>0</v>
      </c>
      <c r="AX52" s="28" t="s">
        <v>51</v>
      </c>
      <c r="AY52" s="19">
        <f>(AS51+AU51+AW51)/3</f>
        <v>0</v>
      </c>
      <c r="BG52" s="28" t="s">
        <v>51</v>
      </c>
      <c r="BH52" s="19">
        <f>(BB51+BD51+BF51)/3</f>
        <v>0</v>
      </c>
      <c r="BP52" s="28" t="s">
        <v>51</v>
      </c>
      <c r="BQ52" s="19">
        <f>(BK51+BM51+BO51)/3</f>
        <v>0</v>
      </c>
      <c r="BY52" s="28" t="s">
        <v>51</v>
      </c>
      <c r="BZ52" s="19">
        <f>(BT51+BV51+BX51)/3</f>
        <v>0</v>
      </c>
      <c r="CB52" s="66" t="s">
        <v>21</v>
      </c>
      <c r="CC52" s="67"/>
      <c r="CD52" s="67"/>
      <c r="CE52" s="54">
        <f ca="1">SUM(IF(MOD(COLUMN(O52:OFFSET(CE52,0,-1)) - COLUMN(O52), 9) = 0, O52:OFFSET(CE52,0,-1), 0))</f>
        <v>0</v>
      </c>
      <c r="CF52" s="54"/>
      <c r="CG52" s="55"/>
    </row>
    <row r="53" spans="3:119" x14ac:dyDescent="0.25">
      <c r="CB53" s="19"/>
      <c r="CC53" s="19"/>
      <c r="CD53" s="19"/>
      <c r="CE53" s="19"/>
      <c r="CF53" s="18"/>
    </row>
    <row r="54" spans="3:119" x14ac:dyDescent="0.25">
      <c r="H54" s="18" t="s">
        <v>12</v>
      </c>
      <c r="I54" s="29" t="s">
        <v>29</v>
      </c>
      <c r="J54" s="29"/>
      <c r="K54" s="29"/>
      <c r="L54" s="29"/>
      <c r="M54" s="29"/>
      <c r="N54" s="29"/>
      <c r="O54" s="29"/>
      <c r="AI54" s="18"/>
      <c r="AR54" s="18"/>
      <c r="BA54" s="18"/>
      <c r="BE54" s="29"/>
      <c r="BF54" s="29"/>
      <c r="BG54" s="29"/>
      <c r="BH54" s="29"/>
      <c r="BI54" s="29"/>
      <c r="BJ54" s="18"/>
      <c r="BK54" s="29"/>
      <c r="BL54" s="29"/>
      <c r="BM54" s="29"/>
      <c r="BN54" s="29"/>
      <c r="BO54" s="29"/>
      <c r="BP54" s="29"/>
      <c r="BQ54" s="29"/>
      <c r="BR54" s="29"/>
    </row>
    <row r="55" spans="3:119" ht="15.75" thickBot="1" x14ac:dyDescent="0.3">
      <c r="H55" s="18" t="s">
        <v>14</v>
      </c>
      <c r="I55" s="29" t="s">
        <v>30</v>
      </c>
      <c r="J55" s="29"/>
      <c r="K55" s="29"/>
      <c r="L55" s="29"/>
      <c r="M55" s="29"/>
      <c r="N55" s="29"/>
      <c r="O55" s="29"/>
      <c r="AI55" s="18"/>
      <c r="AR55" s="18"/>
      <c r="BA55" s="18"/>
      <c r="BE55" s="29"/>
      <c r="BF55" s="29"/>
      <c r="BG55" s="29"/>
      <c r="BH55" s="29"/>
      <c r="BI55" s="29"/>
      <c r="BJ55" s="18"/>
      <c r="BK55" s="29"/>
      <c r="BL55" s="29"/>
      <c r="BM55" s="29"/>
      <c r="BN55" s="29"/>
      <c r="BO55" s="29"/>
      <c r="BP55" s="29"/>
      <c r="BQ55" s="29"/>
      <c r="BR55" s="29"/>
    </row>
    <row r="56" spans="3:119" x14ac:dyDescent="0.25">
      <c r="H56" s="18" t="s">
        <v>16</v>
      </c>
      <c r="I56" s="29" t="s">
        <v>31</v>
      </c>
      <c r="J56" s="29"/>
      <c r="K56" s="29"/>
      <c r="L56" s="29"/>
      <c r="M56" s="29"/>
      <c r="N56" s="29"/>
      <c r="O56" s="29"/>
      <c r="AI56" s="18"/>
      <c r="AR56" s="18"/>
      <c r="BA56" s="18"/>
      <c r="BE56" s="29"/>
      <c r="BF56" s="29"/>
      <c r="BG56" s="29"/>
      <c r="BH56" s="29"/>
      <c r="BI56" s="29"/>
      <c r="BJ56" s="18"/>
      <c r="BK56" s="29"/>
      <c r="BL56" s="29"/>
      <c r="BM56" s="29"/>
      <c r="BN56" s="29"/>
      <c r="BO56" s="29"/>
      <c r="BP56" s="29"/>
      <c r="BQ56" s="29"/>
      <c r="BR56" s="29"/>
      <c r="CB56" s="57" t="s">
        <v>32</v>
      </c>
      <c r="CC56" s="58"/>
      <c r="CD56" s="58"/>
      <c r="CE56" s="58"/>
      <c r="CF56" s="58"/>
      <c r="CG56" s="20">
        <f ca="1">(CC25+CC30+CC35+CC40+CC45+CC20+CC15+CC10+CC50)</f>
        <v>0</v>
      </c>
    </row>
    <row r="57" spans="3:119" x14ac:dyDescent="0.25">
      <c r="AI57" s="18"/>
      <c r="AR57" s="18"/>
      <c r="BA57" s="18"/>
      <c r="BJ57" s="18"/>
      <c r="CB57" s="37" t="s">
        <v>68</v>
      </c>
      <c r="CC57" s="38"/>
      <c r="CD57" s="38"/>
      <c r="CE57" s="38"/>
      <c r="CF57" s="38"/>
      <c r="CG57" s="21">
        <f ca="1">(CE25+CE30+CE35+CE40+CE45+CE20+CE15+CE10+CE50)</f>
        <v>0</v>
      </c>
    </row>
    <row r="58" spans="3:119" x14ac:dyDescent="0.25">
      <c r="I58" s="29" t="s">
        <v>33</v>
      </c>
      <c r="AI58" s="18"/>
      <c r="AR58" s="18"/>
      <c r="BA58" s="18"/>
      <c r="BJ58" s="18"/>
      <c r="BK58" s="29"/>
      <c r="CB58" s="37" t="s">
        <v>69</v>
      </c>
      <c r="CC58" s="38"/>
      <c r="CD58" s="38"/>
      <c r="CE58" s="38"/>
      <c r="CF58" s="38"/>
      <c r="CG58" s="21">
        <f ca="1">(CG25+CG30+CG35+CG40+CG45+CG20+CG15+CG10+CG50)</f>
        <v>0</v>
      </c>
    </row>
    <row r="59" spans="3:119" x14ac:dyDescent="0.25">
      <c r="H59" s="30"/>
      <c r="I59" s="29" t="s">
        <v>34</v>
      </c>
      <c r="AI59" s="18"/>
      <c r="AR59" s="18"/>
      <c r="BA59" s="18"/>
      <c r="BJ59" s="18"/>
      <c r="BK59" s="29"/>
      <c r="CB59" s="37" t="s">
        <v>70</v>
      </c>
      <c r="CC59" s="38"/>
      <c r="CD59" s="38"/>
      <c r="CE59" s="38"/>
      <c r="CF59" s="38"/>
      <c r="CG59" s="21">
        <f>5*(3*16)</f>
        <v>240</v>
      </c>
    </row>
    <row r="60" spans="3:119" x14ac:dyDescent="0.25">
      <c r="H60" s="31"/>
      <c r="I60" s="29" t="s">
        <v>35</v>
      </c>
      <c r="AI60" s="18"/>
      <c r="AR60" s="18"/>
      <c r="BA60" s="18"/>
      <c r="BJ60" s="18"/>
      <c r="BK60" s="29"/>
      <c r="CB60" s="37" t="s">
        <v>36</v>
      </c>
      <c r="CC60" s="38"/>
      <c r="CD60" s="38"/>
      <c r="CE60" s="38"/>
      <c r="CF60" s="38"/>
      <c r="CG60" s="21">
        <f>2*(3*16)</f>
        <v>96</v>
      </c>
    </row>
    <row r="61" spans="3:119" x14ac:dyDescent="0.25">
      <c r="H61" s="32"/>
      <c r="I61" s="29" t="s">
        <v>37</v>
      </c>
      <c r="AI61" s="18"/>
      <c r="AR61" s="18"/>
      <c r="BA61" s="18"/>
      <c r="BJ61" s="18"/>
      <c r="BK61" s="29"/>
      <c r="CB61" s="37" t="s">
        <v>38</v>
      </c>
      <c r="CC61" s="38"/>
      <c r="CD61" s="38"/>
      <c r="CE61" s="38"/>
      <c r="CF61" s="38"/>
      <c r="CG61" s="21">
        <f>5*(3*16)</f>
        <v>240</v>
      </c>
    </row>
    <row r="62" spans="3:119" x14ac:dyDescent="0.25">
      <c r="H62" s="33"/>
      <c r="I62" s="29" t="s">
        <v>39</v>
      </c>
      <c r="AI62" s="18"/>
      <c r="AR62" s="18"/>
      <c r="BA62" s="18"/>
      <c r="BJ62" s="18"/>
      <c r="BK62" s="29"/>
      <c r="CB62" s="37" t="s">
        <v>40</v>
      </c>
      <c r="CC62" s="38"/>
      <c r="CD62" s="38"/>
      <c r="CE62" s="38"/>
      <c r="CF62" s="38"/>
      <c r="CG62" s="21">
        <f ca="1">CG56+CG57+CG58+CG59+CG60+CG61</f>
        <v>576</v>
      </c>
    </row>
    <row r="63" spans="3:119" ht="15.75" thickBot="1" x14ac:dyDescent="0.3">
      <c r="H63" s="34"/>
      <c r="I63" s="29" t="s">
        <v>41</v>
      </c>
      <c r="Y63" s="18" t="s">
        <v>46</v>
      </c>
      <c r="AI63" s="18"/>
      <c r="AL63" s="18" t="s">
        <v>47</v>
      </c>
      <c r="AR63" s="18"/>
      <c r="BA63" s="18"/>
      <c r="BJ63" s="18"/>
      <c r="BK63" s="29"/>
      <c r="CB63" s="69" t="s">
        <v>42</v>
      </c>
      <c r="CC63" s="70"/>
      <c r="CD63" s="70"/>
      <c r="CE63" s="70"/>
      <c r="CF63" s="70"/>
      <c r="CG63" s="22">
        <f ca="1">CG62/(3*16)</f>
        <v>12</v>
      </c>
    </row>
    <row r="64" spans="3:119" x14ac:dyDescent="0.25">
      <c r="H64" s="35"/>
      <c r="I64" s="29" t="s">
        <v>43</v>
      </c>
      <c r="AI64" s="18"/>
      <c r="AR64" s="18"/>
      <c r="BA64" s="18"/>
      <c r="BJ64" s="18"/>
      <c r="BK64" s="29"/>
    </row>
    <row r="65" spans="8:63" x14ac:dyDescent="0.25">
      <c r="H65" s="36"/>
      <c r="I65" s="29" t="s">
        <v>44</v>
      </c>
      <c r="AI65" s="18"/>
      <c r="AR65" s="18"/>
      <c r="BA65" s="18"/>
      <c r="BJ65" s="18"/>
      <c r="BK65" s="29"/>
    </row>
    <row r="66" spans="8:63" x14ac:dyDescent="0.25">
      <c r="H66" s="36"/>
      <c r="I66" s="29" t="s">
        <v>45</v>
      </c>
      <c r="AI66" s="18"/>
      <c r="AR66" s="18"/>
      <c r="BA66" s="18"/>
      <c r="BJ66" s="18"/>
      <c r="BK66" s="29"/>
    </row>
    <row r="67" spans="8:63" x14ac:dyDescent="0.25">
      <c r="AR67" s="18"/>
      <c r="BA67" s="18"/>
      <c r="BJ67" s="18"/>
    </row>
    <row r="68" spans="8:63" x14ac:dyDescent="0.25">
      <c r="AI68" s="18"/>
      <c r="AR68" s="18"/>
      <c r="BA68" s="18"/>
    </row>
  </sheetData>
  <mergeCells count="143">
    <mergeCell ref="CB62:CF62"/>
    <mergeCell ref="CB63:CF63"/>
    <mergeCell ref="H1:BZ4"/>
    <mergeCell ref="I6:N7"/>
    <mergeCell ref="R6:W7"/>
    <mergeCell ref="AA6:AF7"/>
    <mergeCell ref="AJ6:AO7"/>
    <mergeCell ref="AS6:AX7"/>
    <mergeCell ref="BB6:BG7"/>
    <mergeCell ref="BS49:BZ50"/>
    <mergeCell ref="BS9:BZ10"/>
    <mergeCell ref="BS14:BZ15"/>
    <mergeCell ref="BS19:BZ20"/>
    <mergeCell ref="BS24:BZ25"/>
    <mergeCell ref="BS29:BZ30"/>
    <mergeCell ref="BK6:BP7"/>
    <mergeCell ref="BT6:BY7"/>
    <mergeCell ref="CB52:CD52"/>
    <mergeCell ref="CE52:CG52"/>
    <mergeCell ref="CE46:CG46"/>
    <mergeCell ref="CE47:CG47"/>
    <mergeCell ref="CB51:CD51"/>
    <mergeCell ref="C19:F20"/>
    <mergeCell ref="C24:F25"/>
    <mergeCell ref="C29:F30"/>
    <mergeCell ref="C34:F35"/>
    <mergeCell ref="C39:F40"/>
    <mergeCell ref="C44:F45"/>
    <mergeCell ref="C49:F50"/>
    <mergeCell ref="BS34:BZ35"/>
    <mergeCell ref="CB46:CD46"/>
    <mergeCell ref="CB47:CD47"/>
    <mergeCell ref="CB49:CG49"/>
    <mergeCell ref="CE26:CG26"/>
    <mergeCell ref="CB27:CD27"/>
    <mergeCell ref="CE27:CG27"/>
    <mergeCell ref="CB29:CG29"/>
    <mergeCell ref="CB31:CD31"/>
    <mergeCell ref="CE31:CG31"/>
    <mergeCell ref="BJ49:BQ50"/>
    <mergeCell ref="BS44:BZ45"/>
    <mergeCell ref="BS39:BZ40"/>
    <mergeCell ref="CB19:CG19"/>
    <mergeCell ref="CB21:CD21"/>
    <mergeCell ref="CE21:CG21"/>
    <mergeCell ref="CB22:CD22"/>
    <mergeCell ref="CE51:CG51"/>
    <mergeCell ref="CB39:CG39"/>
    <mergeCell ref="CB41:CD41"/>
    <mergeCell ref="CE41:CG41"/>
    <mergeCell ref="CB42:CD42"/>
    <mergeCell ref="CE42:CG42"/>
    <mergeCell ref="CB44:CG44"/>
    <mergeCell ref="CB32:CD32"/>
    <mergeCell ref="CE32:CG32"/>
    <mergeCell ref="CB34:CG34"/>
    <mergeCell ref="CB36:CD36"/>
    <mergeCell ref="CE36:CG36"/>
    <mergeCell ref="CB37:CD37"/>
    <mergeCell ref="CE37:CG37"/>
    <mergeCell ref="CE22:CG22"/>
    <mergeCell ref="CB24:CG24"/>
    <mergeCell ref="CB26:CD26"/>
    <mergeCell ref="H49:O50"/>
    <mergeCell ref="Q49:X50"/>
    <mergeCell ref="Z49:AG50"/>
    <mergeCell ref="AI49:AP50"/>
    <mergeCell ref="AR49:AY50"/>
    <mergeCell ref="BA49:BH50"/>
    <mergeCell ref="BJ39:BQ40"/>
    <mergeCell ref="H44:O45"/>
    <mergeCell ref="Q44:X45"/>
    <mergeCell ref="Z44:AG45"/>
    <mergeCell ref="AI44:AP45"/>
    <mergeCell ref="AR44:AY45"/>
    <mergeCell ref="BA44:BH45"/>
    <mergeCell ref="BJ44:BQ45"/>
    <mergeCell ref="H39:O40"/>
    <mergeCell ref="Q39:X40"/>
    <mergeCell ref="Z39:AG40"/>
    <mergeCell ref="AI39:AP40"/>
    <mergeCell ref="AR39:AY40"/>
    <mergeCell ref="BA39:BH40"/>
    <mergeCell ref="BJ29:BQ30"/>
    <mergeCell ref="AR34:AY35"/>
    <mergeCell ref="BA34:BH35"/>
    <mergeCell ref="BJ34:BQ35"/>
    <mergeCell ref="Z24:AG25"/>
    <mergeCell ref="AI24:AP25"/>
    <mergeCell ref="AR24:AY25"/>
    <mergeCell ref="BA24:BH25"/>
    <mergeCell ref="H29:O30"/>
    <mergeCell ref="Q29:X30"/>
    <mergeCell ref="Z29:AG30"/>
    <mergeCell ref="AI29:AP30"/>
    <mergeCell ref="AR29:AY30"/>
    <mergeCell ref="BJ24:BQ25"/>
    <mergeCell ref="BA9:BH10"/>
    <mergeCell ref="AR9:AY10"/>
    <mergeCell ref="AI9:AP10"/>
    <mergeCell ref="Z9:AG10"/>
    <mergeCell ref="Q9:X10"/>
    <mergeCell ref="Q24:X25"/>
    <mergeCell ref="CB56:CF56"/>
    <mergeCell ref="CB9:CG9"/>
    <mergeCell ref="C14:F15"/>
    <mergeCell ref="Q14:X15"/>
    <mergeCell ref="Z14:AG15"/>
    <mergeCell ref="AI14:AP15"/>
    <mergeCell ref="AR14:AY15"/>
    <mergeCell ref="BA14:BH15"/>
    <mergeCell ref="BJ14:BQ15"/>
    <mergeCell ref="BA19:BH20"/>
    <mergeCell ref="BJ9:BQ10"/>
    <mergeCell ref="H9:O10"/>
    <mergeCell ref="C9:F10"/>
    <mergeCell ref="CB14:CG14"/>
    <mergeCell ref="CB16:CD16"/>
    <mergeCell ref="CB17:CD17"/>
    <mergeCell ref="CE16:CG16"/>
    <mergeCell ref="CE17:CG17"/>
    <mergeCell ref="CB57:CF57"/>
    <mergeCell ref="CB58:CF58"/>
    <mergeCell ref="CB59:CF59"/>
    <mergeCell ref="CB60:CF60"/>
    <mergeCell ref="CB61:CF61"/>
    <mergeCell ref="BA29:BH30"/>
    <mergeCell ref="H24:O25"/>
    <mergeCell ref="BJ19:BQ20"/>
    <mergeCell ref="CE11:CG11"/>
    <mergeCell ref="CB12:CD12"/>
    <mergeCell ref="CE12:CG12"/>
    <mergeCell ref="CB11:CD11"/>
    <mergeCell ref="H19:O20"/>
    <mergeCell ref="Q19:X20"/>
    <mergeCell ref="Z19:AG20"/>
    <mergeCell ref="AI19:AP20"/>
    <mergeCell ref="AR19:AY20"/>
    <mergeCell ref="H14:O15"/>
    <mergeCell ref="H34:O35"/>
    <mergeCell ref="Q34:X35"/>
    <mergeCell ref="Z34:AG35"/>
    <mergeCell ref="AI34:AP35"/>
  </mergeCells>
  <pageMargins left="0.70866141732283472" right="0.70866141732283472" top="0.74803149606299213" bottom="0.74803149606299213" header="0.31496062992125984" footer="0.31496062992125984"/>
  <pageSetup paperSize="9" scale="24" orientation="landscape" horizontalDpi="360" verticalDpi="360" r:id="rId1"/>
  <ignoredErrors>
    <ignoredError sqref="CG60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F5BE-B64F-40C3-9167-0581D119B289}">
  <dimension ref="A1:N7"/>
  <sheetViews>
    <sheetView zoomScale="80" zoomScaleNormal="100" workbookViewId="0">
      <selection activeCell="D9" sqref="D9"/>
    </sheetView>
  </sheetViews>
  <sheetFormatPr baseColWidth="10" defaultColWidth="9.140625" defaultRowHeight="15" x14ac:dyDescent="0.25"/>
  <cols>
    <col min="1" max="2" width="11.42578125" style="5" customWidth="1"/>
    <col min="3" max="3" width="22.140625" style="5" customWidth="1"/>
    <col min="4" max="4" width="14" style="5" customWidth="1"/>
    <col min="5" max="5" width="3.42578125" style="4" customWidth="1"/>
    <col min="6" max="6" width="11.42578125" style="5" customWidth="1"/>
    <col min="7" max="7" width="4.28515625" style="9" customWidth="1"/>
    <col min="8" max="8" width="18.5703125" style="9" bestFit="1" customWidth="1"/>
    <col min="9" max="9" width="22" style="9" bestFit="1" customWidth="1"/>
    <col min="10" max="10" width="15.28515625" style="5" customWidth="1"/>
    <col min="11" max="11" width="5.85546875" style="9" customWidth="1"/>
    <col min="12" max="12" width="18.5703125" style="9" bestFit="1" customWidth="1"/>
    <col min="13" max="13" width="22" style="9" bestFit="1" customWidth="1"/>
    <col min="14" max="14" width="47.7109375" style="5" customWidth="1"/>
    <col min="15" max="256" width="11.42578125" style="10" customWidth="1"/>
    <col min="257" max="16384" width="9.140625" style="10"/>
  </cols>
  <sheetData>
    <row r="1" spans="1:14" ht="37.5" customHeight="1" x14ac:dyDescent="0.2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ht="32.25" customHeight="1" x14ac:dyDescent="0.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4" ht="21" customHeight="1" x14ac:dyDescent="0.25">
      <c r="A3" s="2" t="s">
        <v>1</v>
      </c>
      <c r="B3" s="2" t="s">
        <v>2</v>
      </c>
      <c r="C3" s="2" t="s">
        <v>3</v>
      </c>
      <c r="D3" s="83" t="s">
        <v>4</v>
      </c>
      <c r="E3" s="83"/>
      <c r="F3" s="83"/>
      <c r="G3" s="83"/>
      <c r="H3" s="83"/>
      <c r="I3" s="83"/>
      <c r="J3" s="83"/>
      <c r="K3" s="83"/>
      <c r="L3" s="83"/>
      <c r="M3" s="83"/>
      <c r="N3" s="83"/>
    </row>
    <row r="4" spans="1:14" x14ac:dyDescent="0.25">
      <c r="A4" s="78"/>
      <c r="B4" s="78"/>
      <c r="C4" s="82"/>
      <c r="D4" s="6" t="s">
        <v>5</v>
      </c>
      <c r="E4" s="3"/>
      <c r="F4" s="80" t="s">
        <v>6</v>
      </c>
      <c r="G4" s="80"/>
      <c r="H4" s="7" t="s">
        <v>7</v>
      </c>
      <c r="I4" s="7" t="s">
        <v>8</v>
      </c>
      <c r="J4" s="80" t="s">
        <v>9</v>
      </c>
      <c r="K4" s="80"/>
      <c r="L4" s="7" t="s">
        <v>7</v>
      </c>
      <c r="M4" s="7" t="s">
        <v>8</v>
      </c>
      <c r="N4" s="7" t="s">
        <v>10</v>
      </c>
    </row>
    <row r="5" spans="1:14" ht="14.45" customHeight="1" x14ac:dyDescent="0.25">
      <c r="A5" s="78"/>
      <c r="B5" s="78"/>
      <c r="C5" s="82"/>
      <c r="D5" s="6" t="s">
        <v>11</v>
      </c>
      <c r="E5" s="3"/>
      <c r="F5" s="8" t="s">
        <v>12</v>
      </c>
      <c r="G5" s="1"/>
      <c r="H5" s="78"/>
      <c r="I5" s="79"/>
      <c r="J5" s="8" t="s">
        <v>12</v>
      </c>
      <c r="K5" s="1"/>
      <c r="L5" s="78"/>
      <c r="M5" s="79"/>
      <c r="N5" s="84"/>
    </row>
    <row r="6" spans="1:14" x14ac:dyDescent="0.25">
      <c r="A6" s="78"/>
      <c r="B6" s="78"/>
      <c r="C6" s="82"/>
      <c r="D6" s="6" t="s">
        <v>13</v>
      </c>
      <c r="E6" s="3"/>
      <c r="F6" s="8" t="s">
        <v>14</v>
      </c>
      <c r="G6" s="1"/>
      <c r="H6" s="78"/>
      <c r="I6" s="79"/>
      <c r="J6" s="8" t="s">
        <v>14</v>
      </c>
      <c r="K6" s="1"/>
      <c r="L6" s="78"/>
      <c r="M6" s="79"/>
      <c r="N6" s="84"/>
    </row>
    <row r="7" spans="1:14" x14ac:dyDescent="0.25">
      <c r="A7" s="78"/>
      <c r="B7" s="78"/>
      <c r="C7" s="82"/>
      <c r="D7" s="6" t="s">
        <v>15</v>
      </c>
      <c r="E7" s="3"/>
      <c r="F7" s="8" t="s">
        <v>16</v>
      </c>
      <c r="G7" s="1"/>
      <c r="H7" s="78"/>
      <c r="I7" s="79"/>
      <c r="J7" s="8" t="s">
        <v>16</v>
      </c>
      <c r="K7" s="1"/>
      <c r="L7" s="78"/>
      <c r="M7" s="79"/>
      <c r="N7" s="84"/>
    </row>
  </sheetData>
  <mergeCells count="12">
    <mergeCell ref="L5:L7"/>
    <mergeCell ref="M5:M7"/>
    <mergeCell ref="F4:G4"/>
    <mergeCell ref="J4:K4"/>
    <mergeCell ref="A1:N2"/>
    <mergeCell ref="A4:A7"/>
    <mergeCell ref="B4:B7"/>
    <mergeCell ref="C4:C7"/>
    <mergeCell ref="D3:N3"/>
    <mergeCell ref="N5:N7"/>
    <mergeCell ref="H5:H7"/>
    <mergeCell ref="I5:I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056AFC88326C4799448B54C880494B" ma:contentTypeVersion="0" ma:contentTypeDescription="Crear nuevo documento." ma:contentTypeScope="" ma:versionID="4e1e4b56ebf0b63f67924dd21a513b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D9287C-CE41-4A48-B358-97A71E5FD6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29C807D-6D16-46D1-BB9C-632513C228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MALLA CURRICULAR</vt:lpstr>
      <vt:lpstr>MODIFICACIONES EN ASIGNATURAS</vt:lpstr>
      <vt:lpstr>'MALLA CURRICULAR'!Área_de_impresión</vt:lpstr>
    </vt:vector>
  </TitlesOfParts>
  <Manager/>
  <Company>ESPOL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 Ronald Veloz De La Torre</dc:creator>
  <cp:keywords/>
  <dc:description/>
  <cp:lastModifiedBy>estudiante</cp:lastModifiedBy>
  <cp:revision/>
  <cp:lastPrinted>2026-09-09T05:07:35Z</cp:lastPrinted>
  <dcterms:created xsi:type="dcterms:W3CDTF">2026-08-18T16:08:54Z</dcterms:created>
  <dcterms:modified xsi:type="dcterms:W3CDTF">2026-09-10T04:59:40Z</dcterms:modified>
  <cp:category/>
  <cp:contentStatus/>
</cp:coreProperties>
</file>